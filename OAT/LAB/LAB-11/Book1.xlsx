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202300"/>
  <mc:AlternateContent xmlns:mc="http://schemas.openxmlformats.org/markup-compatibility/2006">
    <mc:Choice Requires="x15">
      <x15ac:absPath xmlns:x15ac="http://schemas.microsoft.com/office/spreadsheetml/2010/11/ac" url="D:\Boj\Sem-3\OAT\LAB\LAB-11\"/>
    </mc:Choice>
  </mc:AlternateContent>
  <xr:revisionPtr revIDLastSave="0" documentId="8_{E6A3FEDC-F29E-4054-A02F-EDE56D270DEE}" xr6:coauthVersionLast="47" xr6:coauthVersionMax="47" xr10:uidLastSave="{00000000-0000-0000-0000-000000000000}"/>
  <bookViews>
    <workbookView xWindow="-108" yWindow="-108" windowWidth="23256" windowHeight="13176" activeTab="1" xr2:uid="{86547F48-AB45-498D-A06B-B1F4B3395AF2}"/>
  </bookViews>
  <sheets>
    <sheet name="Sheet1" sheetId="1" r:id="rId1"/>
    <sheet name="Sheet2" sheetId="2" r:id="rId2"/>
  </sheets>
  <definedNames>
    <definedName name="BBA">Sheet1!$A$21:$A$23</definedName>
    <definedName name="BCA">Sheet1!$B$21:$B$23</definedName>
    <definedName name="Slicer_Category">#N/A</definedName>
    <definedName name="Slicer_Department">#N/A</definedName>
  </definedNames>
  <calcPr calcId="191029"/>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G2" i="1"/>
</calcChain>
</file>

<file path=xl/sharedStrings.xml><?xml version="1.0" encoding="utf-8"?>
<sst xmlns="http://schemas.openxmlformats.org/spreadsheetml/2006/main" count="74" uniqueCount="42">
  <si>
    <t>ID</t>
  </si>
  <si>
    <t>Department</t>
  </si>
  <si>
    <t>Category</t>
  </si>
  <si>
    <t>Product</t>
  </si>
  <si>
    <t>Quantity</t>
  </si>
  <si>
    <t>Sales</t>
  </si>
  <si>
    <t>Computer</t>
  </si>
  <si>
    <t>Electronics</t>
  </si>
  <si>
    <t>Laptop</t>
  </si>
  <si>
    <t>IT</t>
  </si>
  <si>
    <t>Accessories</t>
  </si>
  <si>
    <t>Mouse</t>
  </si>
  <si>
    <t>Mechanical</t>
  </si>
  <si>
    <t>Keyboard</t>
  </si>
  <si>
    <t>Civil</t>
  </si>
  <si>
    <t>Stationery</t>
  </si>
  <si>
    <t>Notebook</t>
  </si>
  <si>
    <t>Electrical</t>
  </si>
  <si>
    <t>Monitor</t>
  </si>
  <si>
    <t>Headphones</t>
  </si>
  <si>
    <t>Tablet</t>
  </si>
  <si>
    <t>Pen</t>
  </si>
  <si>
    <t>USB Cable</t>
  </si>
  <si>
    <t>Printer</t>
  </si>
  <si>
    <t>Webcam</t>
  </si>
  <si>
    <t>Calculator</t>
  </si>
  <si>
    <t>Row Labels</t>
  </si>
  <si>
    <t>Grand Total</t>
  </si>
  <si>
    <t>Sum of Sales</t>
  </si>
  <si>
    <t>Index,Match</t>
  </si>
  <si>
    <t>avg</t>
  </si>
  <si>
    <t>BBA</t>
  </si>
  <si>
    <t>BCA</t>
  </si>
  <si>
    <t>FINANCE</t>
  </si>
  <si>
    <t>MARKETING</t>
  </si>
  <si>
    <t>COMMUNICATION</t>
  </si>
  <si>
    <t>AI/ML</t>
  </si>
  <si>
    <t>FEWT</t>
  </si>
  <si>
    <t>DS</t>
  </si>
  <si>
    <t>hello hi khana khake jaana haa</t>
  </si>
  <si>
    <t>sdsd</t>
  </si>
  <si>
    <t>sdf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</si>
</sst>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0" fillId="0" borderId="0" xfId="0" applyAlignment="1">
      <alignment horizontal="right" vertical="center"/>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Sheet1!$R$1</c:f>
              <c:strCache>
                <c:ptCount val="1"/>
                <c:pt idx="0">
                  <c:v>Total</c:v>
                </c:pt>
              </c:strCache>
            </c:strRef>
          </c:tx>
          <c:spPr>
            <a:solidFill>
              <a:schemeClr val="accent1"/>
            </a:solidFill>
            <a:ln>
              <a:noFill/>
            </a:ln>
            <a:effectLst/>
          </c:spPr>
          <c:invertIfNegative val="0"/>
          <c:cat>
            <c:strRef>
              <c:f>Sheet1!$Q$2:$Q$7</c:f>
              <c:strCache>
                <c:ptCount val="5"/>
                <c:pt idx="0">
                  <c:v>Civil</c:v>
                </c:pt>
                <c:pt idx="1">
                  <c:v>Computer</c:v>
                </c:pt>
                <c:pt idx="2">
                  <c:v>Electrical</c:v>
                </c:pt>
                <c:pt idx="3">
                  <c:v>IT</c:v>
                </c:pt>
                <c:pt idx="4">
                  <c:v>Mechanical</c:v>
                </c:pt>
              </c:strCache>
            </c:strRef>
          </c:cat>
          <c:val>
            <c:numRef>
              <c:f>Sheet1!$R$2:$R$7</c:f>
              <c:numCache>
                <c:formatCode>General</c:formatCode>
                <c:ptCount val="5"/>
                <c:pt idx="0">
                  <c:v>8900</c:v>
                </c:pt>
                <c:pt idx="1">
                  <c:v>137000</c:v>
                </c:pt>
                <c:pt idx="2">
                  <c:v>51500</c:v>
                </c:pt>
                <c:pt idx="3">
                  <c:v>71500</c:v>
                </c:pt>
                <c:pt idx="4">
                  <c:v>65500</c:v>
                </c:pt>
              </c:numCache>
            </c:numRef>
          </c:val>
          <c:extLst>
            <c:ext xmlns:c16="http://schemas.microsoft.com/office/drawing/2014/chart" uri="{C3380CC4-5D6E-409C-BE32-E72D297353CC}">
              <c16:uniqueId val="{00000000-4812-40A4-90CD-2F85778C9ACE}"/>
            </c:ext>
          </c:extLst>
        </c:ser>
        <c:dLbls>
          <c:showLegendKey val="0"/>
          <c:showVal val="0"/>
          <c:showCatName val="0"/>
          <c:showSerName val="0"/>
          <c:showPercent val="0"/>
          <c:showBubbleSize val="0"/>
        </c:dLbls>
        <c:gapWidth val="219"/>
        <c:overlap val="-27"/>
        <c:axId val="1747327184"/>
        <c:axId val="1747335344"/>
      </c:barChart>
      <c:catAx>
        <c:axId val="174732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335344"/>
        <c:crosses val="autoZero"/>
        <c:auto val="1"/>
        <c:lblAlgn val="ctr"/>
        <c:lblOffset val="100"/>
        <c:noMultiLvlLbl val="0"/>
      </c:catAx>
      <c:valAx>
        <c:axId val="174733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32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6743</xdr:colOff>
      <xdr:row>0</xdr:row>
      <xdr:rowOff>0</xdr:rowOff>
    </xdr:from>
    <xdr:to>
      <xdr:col>15</xdr:col>
      <xdr:colOff>411344</xdr:colOff>
      <xdr:row>15</xdr:row>
      <xdr:rowOff>12138</xdr:rowOff>
    </xdr:to>
    <xdr:graphicFrame macro="">
      <xdr:nvGraphicFramePr>
        <xdr:cNvPr id="3" name="Chart 2">
          <a:extLst>
            <a:ext uri="{FF2B5EF4-FFF2-40B4-BE49-F238E27FC236}">
              <a16:creationId xmlns:a16="http://schemas.microsoft.com/office/drawing/2014/main" id="{CA59B38C-6A78-F730-6F01-237AFF11B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1222</xdr:colOff>
      <xdr:row>15</xdr:row>
      <xdr:rowOff>14298</xdr:rowOff>
    </xdr:from>
    <xdr:to>
      <xdr:col>12</xdr:col>
      <xdr:colOff>83490</xdr:colOff>
      <xdr:row>29</xdr:row>
      <xdr:rowOff>46582</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FB081CB3-53C0-FAA2-5F37-602748B7EC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23682" y="2745360"/>
              <a:ext cx="1828799"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83417</xdr:colOff>
      <xdr:row>15</xdr:row>
      <xdr:rowOff>15578</xdr:rowOff>
    </xdr:from>
    <xdr:to>
      <xdr:col>14</xdr:col>
      <xdr:colOff>98251</xdr:colOff>
      <xdr:row>29</xdr:row>
      <xdr:rowOff>47862</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2EC61A5-11D3-C526-61CB-C3BCC278C8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52408" y="2746640"/>
              <a:ext cx="1828799"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9.521622106484" createdVersion="8" refreshedVersion="8" minRefreshableVersion="3" recordCount="15" xr:uid="{3CF6B9BF-D7CE-4740-976B-9C9B522D3634}">
  <cacheSource type="worksheet">
    <worksheetSource ref="A1:F16" sheet="Sheet1"/>
  </cacheSource>
  <cacheFields count="6">
    <cacheField name="ID" numFmtId="0">
      <sharedItems containsSemiMixedTypes="0" containsString="0" containsNumber="1" containsInteger="1" minValue="101" maxValue="115"/>
    </cacheField>
    <cacheField name="Department" numFmtId="0">
      <sharedItems count="5">
        <s v="Computer"/>
        <s v="IT"/>
        <s v="Mechanical"/>
        <s v="Civil"/>
        <s v="Electrical"/>
      </sharedItems>
    </cacheField>
    <cacheField name="Category" numFmtId="0">
      <sharedItems count="3">
        <s v="Electronics"/>
        <s v="Accessories"/>
        <s v="Stationery"/>
      </sharedItems>
    </cacheField>
    <cacheField name="Product" numFmtId="0">
      <sharedItems count="12">
        <s v="Laptop"/>
        <s v="Mouse"/>
        <s v="Keyboard"/>
        <s v="Notebook"/>
        <s v="Monitor"/>
        <s v="Headphones"/>
        <s v="Tablet"/>
        <s v="Pen"/>
        <s v="USB Cable"/>
        <s v="Printer"/>
        <s v="Webcam"/>
        <s v="Calculator"/>
      </sharedItems>
    </cacheField>
    <cacheField name="Quantity" numFmtId="0">
      <sharedItems containsSemiMixedTypes="0" containsString="0" containsNumber="1" containsInteger="1" minValue="1" maxValue="20"/>
    </cacheField>
    <cacheField name="Sales" numFmtId="0">
      <sharedItems containsSemiMixedTypes="0" containsString="0" containsNumber="1" containsInteger="1" minValue="1000" maxValue="120000"/>
    </cacheField>
  </cacheFields>
  <extLst>
    <ext xmlns:x14="http://schemas.microsoft.com/office/spreadsheetml/2009/9/main" uri="{725AE2AE-9491-48be-B2B4-4EB974FC3084}">
      <x14:pivotCacheDefinition pivotCacheId="1625608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x v="0"/>
    <n v="2"/>
    <n v="120000"/>
  </r>
  <r>
    <n v="102"/>
    <x v="1"/>
    <x v="1"/>
    <x v="1"/>
    <n v="5"/>
    <n v="2500"/>
  </r>
  <r>
    <n v="103"/>
    <x v="2"/>
    <x v="0"/>
    <x v="2"/>
    <n v="3"/>
    <n v="4500"/>
  </r>
  <r>
    <n v="104"/>
    <x v="3"/>
    <x v="2"/>
    <x v="3"/>
    <n v="10"/>
    <n v="1500"/>
  </r>
  <r>
    <n v="105"/>
    <x v="4"/>
    <x v="0"/>
    <x v="4"/>
    <n v="2"/>
    <n v="30000"/>
  </r>
  <r>
    <n v="106"/>
    <x v="0"/>
    <x v="1"/>
    <x v="5"/>
    <n v="4"/>
    <n v="8000"/>
  </r>
  <r>
    <n v="107"/>
    <x v="1"/>
    <x v="0"/>
    <x v="6"/>
    <n v="3"/>
    <n v="60000"/>
  </r>
  <r>
    <n v="108"/>
    <x v="2"/>
    <x v="2"/>
    <x v="7"/>
    <n v="20"/>
    <n v="1000"/>
  </r>
  <r>
    <n v="109"/>
    <x v="3"/>
    <x v="1"/>
    <x v="8"/>
    <n v="8"/>
    <n v="2400"/>
  </r>
  <r>
    <n v="110"/>
    <x v="4"/>
    <x v="0"/>
    <x v="9"/>
    <n v="1"/>
    <n v="18000"/>
  </r>
  <r>
    <n v="111"/>
    <x v="0"/>
    <x v="0"/>
    <x v="10"/>
    <n v="3"/>
    <n v="9000"/>
  </r>
  <r>
    <n v="112"/>
    <x v="1"/>
    <x v="1"/>
    <x v="2"/>
    <n v="6"/>
    <n v="9000"/>
  </r>
  <r>
    <n v="113"/>
    <x v="2"/>
    <x v="0"/>
    <x v="0"/>
    <n v="1"/>
    <n v="60000"/>
  </r>
  <r>
    <n v="114"/>
    <x v="3"/>
    <x v="2"/>
    <x v="11"/>
    <n v="5"/>
    <n v="5000"/>
  </r>
  <r>
    <n v="115"/>
    <x v="4"/>
    <x v="1"/>
    <x v="1"/>
    <n v="7"/>
    <n v="3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D2CBC-C1A4-4CA8-B41F-C1D4555CCF8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1:R7" firstHeaderRow="1" firstDataRow="1" firstDataCol="1"/>
  <pivotFields count="6">
    <pivotField showAll="0"/>
    <pivotField axis="axisRow" showAll="0">
      <items count="6">
        <item x="3"/>
        <item x="0"/>
        <item x="4"/>
        <item x="1"/>
        <item x="2"/>
        <item t="default"/>
      </items>
    </pivotField>
    <pivotField showAll="0">
      <items count="4">
        <item x="1"/>
        <item x="0"/>
        <item x="2"/>
        <item t="default"/>
      </items>
    </pivotField>
    <pivotField showAll="0"/>
    <pivotField showAll="0"/>
    <pivotField dataField="1" showAll="0"/>
  </pivotFields>
  <rowFields count="1">
    <field x="1"/>
  </rowFields>
  <rowItems count="6">
    <i>
      <x/>
    </i>
    <i>
      <x v="1"/>
    </i>
    <i>
      <x v="2"/>
    </i>
    <i>
      <x v="3"/>
    </i>
    <i>
      <x v="4"/>
    </i>
    <i t="grand">
      <x/>
    </i>
  </rowItems>
  <colItems count="1">
    <i/>
  </colItems>
  <dataFields count="1">
    <dataField name="Sum of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DB5AE1-08B6-4775-B244-C17661D88EC2}" sourceName="Department">
  <pivotTables>
    <pivotTable tabId="1" name="PivotTable1"/>
  </pivotTables>
  <data>
    <tabular pivotCacheId="1625608495">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40A74B-E605-4358-BEA2-F73D64350F6F}" sourceName="Category">
  <pivotTables>
    <pivotTable tabId="1" name="PivotTable1"/>
  </pivotTables>
  <data>
    <tabular pivotCacheId="162560849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F79622D-F2C7-482C-AA04-4696068C0CF2}" cache="Slicer_Department" caption="Department" rowHeight="247650"/>
  <slicer name="Category" xr10:uid="{C2A62F96-6D3A-4399-88E5-81816E960A26}"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499A7-42F8-43E3-8997-D99D287EAC23}">
  <sheetPr codeName="Sheet1"/>
  <dimension ref="A1:R23"/>
  <sheetViews>
    <sheetView topLeftCell="A9" zoomScale="113" zoomScaleNormal="124" workbookViewId="0">
      <selection activeCell="A26" sqref="A26"/>
    </sheetView>
  </sheetViews>
  <sheetFormatPr defaultRowHeight="14.4" x14ac:dyDescent="0.3"/>
  <cols>
    <col min="1" max="1" width="16.109375" customWidth="1"/>
    <col min="2" max="2" width="14.6640625" customWidth="1"/>
    <col min="3" max="3" width="11.44140625" customWidth="1"/>
    <col min="4" max="4" width="16.33203125" customWidth="1"/>
    <col min="5" max="5" width="9.6640625" customWidth="1"/>
    <col min="7" max="7" width="12.109375" customWidth="1"/>
    <col min="8" max="8" width="13.109375" bestFit="1" customWidth="1"/>
    <col min="9" max="9" width="11.77734375" bestFit="1" customWidth="1"/>
    <col min="11" max="11" width="16.33203125" bestFit="1" customWidth="1"/>
    <col min="12" max="12" width="9.109375" bestFit="1" customWidth="1"/>
    <col min="13" max="13" width="14.5546875" bestFit="1" customWidth="1"/>
    <col min="14" max="14" width="11.88671875" bestFit="1" customWidth="1"/>
    <col min="17" max="17" width="12.44140625" customWidth="1"/>
    <col min="18" max="18" width="13.77734375" customWidth="1"/>
  </cols>
  <sheetData>
    <row r="1" spans="1:18" x14ac:dyDescent="0.3">
      <c r="A1" s="2" t="s">
        <v>0</v>
      </c>
      <c r="B1" s="3" t="s">
        <v>1</v>
      </c>
      <c r="C1" s="3" t="s">
        <v>2</v>
      </c>
      <c r="D1" s="3" t="s">
        <v>3</v>
      </c>
      <c r="E1" s="2" t="s">
        <v>4</v>
      </c>
      <c r="F1" s="2" t="s">
        <v>5</v>
      </c>
      <c r="G1" s="3" t="s">
        <v>29</v>
      </c>
      <c r="H1" s="3" t="s">
        <v>30</v>
      </c>
      <c r="Q1" s="6" t="s">
        <v>26</v>
      </c>
      <c r="R1" t="s">
        <v>28</v>
      </c>
    </row>
    <row r="2" spans="1:18" x14ac:dyDescent="0.3">
      <c r="A2" s="4">
        <v>101</v>
      </c>
      <c r="B2" s="1" t="s">
        <v>6</v>
      </c>
      <c r="C2" s="1" t="s">
        <v>7</v>
      </c>
      <c r="D2" s="1" t="s">
        <v>8</v>
      </c>
      <c r="E2" s="4">
        <v>2</v>
      </c>
      <c r="F2" s="4">
        <v>120000</v>
      </c>
      <c r="G2" t="str">
        <f>INDEX(D2:D16,MATCH(A7,A2:A16,0))</f>
        <v>Headphones</v>
      </c>
      <c r="H2">
        <f>AVERAGE(F2:F16)</f>
        <v>100000</v>
      </c>
      <c r="Q2" s="7" t="s">
        <v>14</v>
      </c>
      <c r="R2" s="5">
        <v>8900</v>
      </c>
    </row>
    <row r="3" spans="1:18" x14ac:dyDescent="0.3">
      <c r="A3" s="4">
        <v>102</v>
      </c>
      <c r="B3" s="1" t="s">
        <v>9</v>
      </c>
      <c r="C3" s="1" t="s">
        <v>10</v>
      </c>
      <c r="D3" s="1" t="s">
        <v>11</v>
      </c>
      <c r="E3" s="4">
        <v>5</v>
      </c>
      <c r="F3" s="4">
        <v>2500</v>
      </c>
      <c r="Q3" s="7" t="s">
        <v>6</v>
      </c>
      <c r="R3" s="5">
        <v>137000</v>
      </c>
    </row>
    <row r="4" spans="1:18" x14ac:dyDescent="0.3">
      <c r="A4" s="4">
        <v>103</v>
      </c>
      <c r="B4" s="1" t="s">
        <v>12</v>
      </c>
      <c r="C4" s="1" t="s">
        <v>7</v>
      </c>
      <c r="D4" s="1" t="s">
        <v>13</v>
      </c>
      <c r="E4" s="4">
        <v>3</v>
      </c>
      <c r="F4" s="4">
        <v>4500</v>
      </c>
      <c r="Q4" s="7" t="s">
        <v>17</v>
      </c>
      <c r="R4" s="5">
        <v>51500</v>
      </c>
    </row>
    <row r="5" spans="1:18" x14ac:dyDescent="0.3">
      <c r="A5" s="4">
        <v>104</v>
      </c>
      <c r="B5" s="1" t="s">
        <v>14</v>
      </c>
      <c r="C5" s="1" t="s">
        <v>15</v>
      </c>
      <c r="D5" s="1" t="s">
        <v>16</v>
      </c>
      <c r="E5" s="4">
        <v>10</v>
      </c>
      <c r="F5" s="4">
        <v>1167100</v>
      </c>
      <c r="Q5" s="7" t="s">
        <v>9</v>
      </c>
      <c r="R5" s="5">
        <v>71500</v>
      </c>
    </row>
    <row r="6" spans="1:18" x14ac:dyDescent="0.3">
      <c r="A6" s="4">
        <v>105</v>
      </c>
      <c r="B6" s="1" t="s">
        <v>17</v>
      </c>
      <c r="C6" s="1" t="s">
        <v>7</v>
      </c>
      <c r="D6" s="1" t="s">
        <v>18</v>
      </c>
      <c r="E6" s="4">
        <v>2</v>
      </c>
      <c r="F6" s="4">
        <v>30000</v>
      </c>
      <c r="Q6" s="7" t="s">
        <v>12</v>
      </c>
      <c r="R6" s="5">
        <v>65500</v>
      </c>
    </row>
    <row r="7" spans="1:18" x14ac:dyDescent="0.3">
      <c r="A7" s="4">
        <v>106</v>
      </c>
      <c r="B7" s="1" t="s">
        <v>6</v>
      </c>
      <c r="C7" s="1" t="s">
        <v>10</v>
      </c>
      <c r="D7" s="1" t="s">
        <v>19</v>
      </c>
      <c r="E7" s="4">
        <v>4</v>
      </c>
      <c r="F7" s="4">
        <v>8000</v>
      </c>
      <c r="Q7" s="7" t="s">
        <v>27</v>
      </c>
      <c r="R7" s="5">
        <v>334400</v>
      </c>
    </row>
    <row r="8" spans="1:18" x14ac:dyDescent="0.3">
      <c r="A8" s="4">
        <v>107</v>
      </c>
      <c r="B8" s="1" t="s">
        <v>9</v>
      </c>
      <c r="C8" s="1" t="s">
        <v>7</v>
      </c>
      <c r="D8" s="1" t="s">
        <v>20</v>
      </c>
      <c r="E8" s="4">
        <v>3</v>
      </c>
      <c r="F8" s="4">
        <v>60000</v>
      </c>
    </row>
    <row r="9" spans="1:18" x14ac:dyDescent="0.3">
      <c r="A9" s="4">
        <v>108</v>
      </c>
      <c r="B9" s="1" t="s">
        <v>12</v>
      </c>
      <c r="C9" s="1" t="s">
        <v>15</v>
      </c>
      <c r="D9" s="1" t="s">
        <v>21</v>
      </c>
      <c r="E9" s="4">
        <v>20</v>
      </c>
      <c r="F9" s="4">
        <v>1000</v>
      </c>
    </row>
    <row r="10" spans="1:18" x14ac:dyDescent="0.3">
      <c r="A10" s="4">
        <v>109</v>
      </c>
      <c r="B10" s="1" t="s">
        <v>14</v>
      </c>
      <c r="C10" s="1" t="s">
        <v>10</v>
      </c>
      <c r="D10" s="1" t="s">
        <v>22</v>
      </c>
      <c r="E10" s="4">
        <v>8</v>
      </c>
      <c r="F10" s="4">
        <v>2400</v>
      </c>
    </row>
    <row r="11" spans="1:18" x14ac:dyDescent="0.3">
      <c r="A11" s="4">
        <v>110</v>
      </c>
      <c r="B11" s="1" t="s">
        <v>17</v>
      </c>
      <c r="C11" s="1" t="s">
        <v>7</v>
      </c>
      <c r="D11" s="1" t="s">
        <v>23</v>
      </c>
      <c r="E11" s="4">
        <v>1</v>
      </c>
      <c r="F11" s="4">
        <v>18000</v>
      </c>
    </row>
    <row r="12" spans="1:18" x14ac:dyDescent="0.3">
      <c r="A12" s="4">
        <v>111</v>
      </c>
      <c r="B12" s="1" t="s">
        <v>6</v>
      </c>
      <c r="C12" s="1" t="s">
        <v>7</v>
      </c>
      <c r="D12" s="1" t="s">
        <v>24</v>
      </c>
      <c r="E12" s="4">
        <v>3</v>
      </c>
      <c r="F12" s="4">
        <v>9000</v>
      </c>
    </row>
    <row r="13" spans="1:18" x14ac:dyDescent="0.3">
      <c r="A13" s="4">
        <v>112</v>
      </c>
      <c r="B13" s="1" t="s">
        <v>9</v>
      </c>
      <c r="C13" s="1" t="s">
        <v>10</v>
      </c>
      <c r="D13" s="1" t="s">
        <v>13</v>
      </c>
      <c r="E13" s="4">
        <v>6</v>
      </c>
      <c r="F13" s="4">
        <v>9000</v>
      </c>
    </row>
    <row r="14" spans="1:18" x14ac:dyDescent="0.3">
      <c r="A14" s="4">
        <v>113</v>
      </c>
      <c r="B14" s="1" t="s">
        <v>12</v>
      </c>
      <c r="C14" s="1" t="s">
        <v>7</v>
      </c>
      <c r="D14" s="1" t="s">
        <v>8</v>
      </c>
      <c r="E14" s="4">
        <v>1</v>
      </c>
      <c r="F14" s="4">
        <v>60000</v>
      </c>
    </row>
    <row r="15" spans="1:18" x14ac:dyDescent="0.3">
      <c r="A15" s="4">
        <v>114</v>
      </c>
      <c r="B15" s="1" t="s">
        <v>14</v>
      </c>
      <c r="C15" s="1" t="s">
        <v>15</v>
      </c>
      <c r="D15" s="1" t="s">
        <v>25</v>
      </c>
      <c r="E15" s="4">
        <v>5</v>
      </c>
      <c r="F15" s="4">
        <v>5000</v>
      </c>
    </row>
    <row r="16" spans="1:18" x14ac:dyDescent="0.3">
      <c r="A16" s="4">
        <v>115</v>
      </c>
      <c r="B16" s="1" t="s">
        <v>17</v>
      </c>
      <c r="C16" s="1" t="s">
        <v>10</v>
      </c>
      <c r="D16" s="1" t="s">
        <v>11</v>
      </c>
      <c r="E16" s="4">
        <v>7</v>
      </c>
      <c r="F16" s="4">
        <v>3500</v>
      </c>
    </row>
    <row r="20" spans="1:4" x14ac:dyDescent="0.3">
      <c r="A20" t="s">
        <v>31</v>
      </c>
      <c r="B20" t="s">
        <v>32</v>
      </c>
      <c r="C20" t="s">
        <v>31</v>
      </c>
      <c r="D20" t="s">
        <v>35</v>
      </c>
    </row>
    <row r="21" spans="1:4" x14ac:dyDescent="0.3">
      <c r="A21" t="s">
        <v>33</v>
      </c>
      <c r="B21" t="s">
        <v>36</v>
      </c>
    </row>
    <row r="22" spans="1:4" x14ac:dyDescent="0.3">
      <c r="A22" t="s">
        <v>34</v>
      </c>
      <c r="B22" t="s">
        <v>37</v>
      </c>
    </row>
    <row r="23" spans="1:4" x14ac:dyDescent="0.3">
      <c r="A23" t="s">
        <v>35</v>
      </c>
      <c r="B23" t="s">
        <v>38</v>
      </c>
    </row>
  </sheetData>
  <dataValidations count="2">
    <dataValidation type="list" allowBlank="1" showInputMessage="1" showErrorMessage="1" sqref="C20" xr:uid="{B2378BE9-3778-4CFB-A6B5-5520B5A33A49}">
      <formula1>$A$20:$B$20</formula1>
    </dataValidation>
    <dataValidation type="list" allowBlank="1" showInputMessage="1" showErrorMessage="1" sqref="D20" xr:uid="{19E43C65-4208-4F1E-A252-714B5A0851D8}">
      <formula1>INDIRECT($C$20)</formula1>
    </dataValidation>
  </dataValidation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1F25-792A-4766-A7F3-D24340BC66C4}">
  <sheetPr codeName="Sheet2"/>
  <dimension ref="A1:F6"/>
  <sheetViews>
    <sheetView tabSelected="1" workbookViewId="0">
      <selection sqref="A1:C2"/>
    </sheetView>
  </sheetViews>
  <sheetFormatPr defaultRowHeight="14.4" x14ac:dyDescent="0.3"/>
  <cols>
    <col min="1" max="1" width="25.5546875" bestFit="1" customWidth="1"/>
    <col min="2" max="2" width="15.21875" bestFit="1" customWidth="1"/>
    <col min="6" max="6" width="3.44140625" bestFit="1" customWidth="1"/>
  </cols>
  <sheetData>
    <row r="1" spans="1:6" x14ac:dyDescent="0.3">
      <c r="A1" t="s">
        <v>39</v>
      </c>
    </row>
    <row r="2" spans="1:6" x14ac:dyDescent="0.3">
      <c r="A2" t="s">
        <v>40</v>
      </c>
    </row>
    <row r="6" spans="1:6" x14ac:dyDescent="0.3">
      <c r="F6" t="s">
        <v>41</v>
      </c>
    </row>
  </sheetData>
  <dataConsolidate/>
  <conditionalFormatting sqref="A1:C10">
    <cfRule type="expression" dxfId="1" priority="2">
      <formula>COUNTA($A1:$C$10)</formula>
    </cfRule>
  </conditionalFormatting>
  <conditionalFormatting sqref="B2">
    <cfRule type="expression" dxfId="0" priority="1">
      <formula>COUNTA($E5:$H$10)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Sheet2</vt:lpstr>
      <vt:lpstr>BBA</vt:lpstr>
      <vt:lpstr>BCA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Jeel Pandya</dc:creator>
  <cp:lastModifiedBy>Jeel Pandya</cp:lastModifiedBy>
  <dcterms:created xsi:type="dcterms:W3CDTF">2026-08-25T06:50:31Z</dcterms:created>
  <dcterms:modified xsi:type="dcterms:W3CDTF">2026-08-25T08:11:26Z</dcterms:modified>
</cp:coreProperties>
</file>