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3\OAT\class\"/>
    </mc:Choice>
  </mc:AlternateContent>
  <xr:revisionPtr revIDLastSave="0" documentId="8_{96FCDB66-F8CB-497B-9451-87DCCCEAA693}" xr6:coauthVersionLast="47" xr6:coauthVersionMax="47" xr10:uidLastSave="{00000000-0000-0000-0000-000000000000}"/>
  <bookViews>
    <workbookView xWindow="-108" yWindow="-108" windowWidth="23256" windowHeight="13176" activeTab="1" xr2:uid="{048014BD-BB6C-4484-8033-A822A53E30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4" i="2"/>
  <c r="E15" i="2"/>
  <c r="E16" i="2"/>
  <c r="E12" i="2"/>
  <c r="D13" i="2"/>
  <c r="D14" i="2"/>
  <c r="D15" i="2"/>
  <c r="D16" i="2"/>
  <c r="D12" i="2"/>
  <c r="C13" i="2"/>
  <c r="C14" i="2"/>
  <c r="C15" i="2"/>
  <c r="C16" i="2"/>
  <c r="C12" i="2"/>
  <c r="B13" i="2"/>
  <c r="B14" i="2"/>
  <c r="B15" i="2"/>
  <c r="B16" i="2"/>
  <c r="B12" i="2"/>
  <c r="F6" i="2"/>
  <c r="E6" i="2"/>
  <c r="D6" i="2"/>
  <c r="C6" i="2"/>
  <c r="B6" i="2"/>
  <c r="O2" i="1"/>
  <c r="P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R2" i="1"/>
  <c r="Q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D19" i="1"/>
  <c r="D1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D20" i="1" l="1"/>
</calcChain>
</file>

<file path=xl/sharedStrings.xml><?xml version="1.0" encoding="utf-8"?>
<sst xmlns="http://schemas.openxmlformats.org/spreadsheetml/2006/main" count="54" uniqueCount="53">
  <si>
    <t>Student Rno</t>
  </si>
  <si>
    <t>Subject 1</t>
  </si>
  <si>
    <t>Subject 2</t>
  </si>
  <si>
    <t>Subject 3</t>
  </si>
  <si>
    <t>Subject 4</t>
  </si>
  <si>
    <t>Subject 5</t>
  </si>
  <si>
    <t>Name</t>
  </si>
  <si>
    <t xml:space="preserve"> Spandan Hedpara</t>
  </si>
  <si>
    <t>Keyur Medpara</t>
  </si>
  <si>
    <t>Rahul Patel</t>
  </si>
  <si>
    <t>Anuj Patel</t>
  </si>
  <si>
    <t>Preet Patel</t>
  </si>
  <si>
    <t>Heet Patel</t>
  </si>
  <si>
    <t>Jenil Dobariya</t>
  </si>
  <si>
    <t>Vraj Faldu</t>
  </si>
  <si>
    <t>Darshan Savaliya</t>
  </si>
  <si>
    <t>Lipsit Kataria</t>
  </si>
  <si>
    <t>Rudra Prahjapati</t>
  </si>
  <si>
    <t>Jeel Pandya</t>
  </si>
  <si>
    <t>Prince Limbasiya</t>
  </si>
  <si>
    <t>Vishvam Hapaliya</t>
  </si>
  <si>
    <t>Khush Ghetiya</t>
  </si>
  <si>
    <t>Sum</t>
  </si>
  <si>
    <t>Percentage</t>
  </si>
  <si>
    <t>Min</t>
  </si>
  <si>
    <t>Max</t>
  </si>
  <si>
    <t>Upper</t>
  </si>
  <si>
    <t>Lower</t>
  </si>
  <si>
    <t>Proper</t>
  </si>
  <si>
    <t>Count</t>
  </si>
  <si>
    <t>A-Count</t>
  </si>
  <si>
    <t>Avg</t>
  </si>
  <si>
    <t>Grade</t>
  </si>
  <si>
    <t>concat</t>
  </si>
  <si>
    <t>Trim</t>
  </si>
  <si>
    <t>CountIf</t>
  </si>
  <si>
    <t>Student rno</t>
  </si>
  <si>
    <t>Subject1</t>
  </si>
  <si>
    <t>Subject2</t>
  </si>
  <si>
    <t>Subject3</t>
  </si>
  <si>
    <t>Subject4</t>
  </si>
  <si>
    <t>Total</t>
  </si>
  <si>
    <t xml:space="preserve">Percentage </t>
  </si>
  <si>
    <t>A</t>
  </si>
  <si>
    <t>B</t>
  </si>
  <si>
    <t>A+</t>
  </si>
  <si>
    <t>C</t>
  </si>
  <si>
    <t>B+</t>
  </si>
  <si>
    <t>rno</t>
  </si>
  <si>
    <t>sub1</t>
  </si>
  <si>
    <t>sub2</t>
  </si>
  <si>
    <t>sub3</t>
  </si>
  <si>
    <t>sub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</si>
</sst>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78D6-38EB-4F7C-ABF7-78E6DF35703A}">
  <dimension ref="A1:R20"/>
  <sheetViews>
    <sheetView zoomScaleNormal="100" workbookViewId="0">
      <pane ySplit="1" topLeftCell="A23" activePane="bottomLeft" state="frozen"/>
      <selection pane="bottomLeft" activeCell="E18" sqref="E18"/>
    </sheetView>
  </sheetViews>
  <sheetFormatPr defaultRowHeight="14.4" x14ac:dyDescent="0.3"/>
  <cols>
    <col min="2" max="2" width="25.109375" customWidth="1"/>
    <col min="9" max="9" width="11.88671875" customWidth="1"/>
    <col min="12" max="12" width="19.33203125" customWidth="1"/>
    <col min="13" max="13" width="17.33203125" customWidth="1"/>
    <col min="14" max="14" width="19.33203125" customWidth="1"/>
    <col min="17" max="17" width="21.33203125" customWidth="1"/>
    <col min="18" max="18" width="17.21875" customWidth="1"/>
  </cols>
  <sheetData>
    <row r="1" spans="1:18" ht="28.8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 x14ac:dyDescent="0.3">
      <c r="A2" s="1">
        <v>101</v>
      </c>
      <c r="B2" s="1" t="s">
        <v>7</v>
      </c>
      <c r="C2" s="2">
        <v>78</v>
      </c>
      <c r="D2" s="2">
        <v>65</v>
      </c>
      <c r="E2" s="2">
        <v>89</v>
      </c>
      <c r="F2" s="2">
        <v>72</v>
      </c>
      <c r="G2" s="2">
        <v>80</v>
      </c>
      <c r="H2">
        <f>SUM(C2:G2)</f>
        <v>384</v>
      </c>
      <c r="I2" s="4">
        <f>AVERAGE(C2:G2)/100</f>
        <v>0.76800000000000002</v>
      </c>
      <c r="J2">
        <f>MIN(C2:G2)</f>
        <v>65</v>
      </c>
      <c r="K2">
        <f>MAX(C2:G2)</f>
        <v>89</v>
      </c>
      <c r="L2" t="str">
        <f>UPPER(B2)</f>
        <v xml:space="preserve"> SPANDAN HEDPARA</v>
      </c>
      <c r="M2" t="str">
        <f>LOWER(B2)</f>
        <v xml:space="preserve"> spandan hedpara</v>
      </c>
      <c r="N2" t="str">
        <f>PROPER(B2)</f>
        <v xml:space="preserve"> Spandan Hedpara</v>
      </c>
      <c r="O2">
        <f>AVERAGE(C2:G2)</f>
        <v>76.8</v>
      </c>
      <c r="P2" t="str">
        <f>IF(O2&gt;=90,"A+",IF(O2&gt;=80,"A",IF(O2&gt;=70,"B+",IF(O2&gt;=60,"B",IF(O2&gt;=50,"C","FAIL")))))</f>
        <v>B+</v>
      </c>
      <c r="Q2" t="str">
        <f>_xlfn.CONCAT(A2,"-",B2)</f>
        <v>101- Spandan Hedpara</v>
      </c>
      <c r="R2" t="str">
        <f>TRIM(B2)</f>
        <v>Spandan Hedpara</v>
      </c>
    </row>
    <row r="3" spans="1:18" x14ac:dyDescent="0.3">
      <c r="A3" s="1">
        <v>102</v>
      </c>
      <c r="B3" s="1" t="s">
        <v>8</v>
      </c>
      <c r="C3" s="2">
        <v>55</v>
      </c>
      <c r="D3" s="2">
        <v>60</v>
      </c>
      <c r="E3" s="2">
        <v>58</v>
      </c>
      <c r="F3" s="2">
        <v>62</v>
      </c>
      <c r="G3" s="2">
        <v>70</v>
      </c>
      <c r="H3">
        <f t="shared" ref="H3:H16" si="0">SUM(C3:G3)</f>
        <v>305</v>
      </c>
      <c r="I3" s="4">
        <f t="shared" ref="I3:I16" si="1">AVERAGE(C3:G3)/100</f>
        <v>0.61</v>
      </c>
      <c r="J3">
        <f t="shared" ref="J3:J16" si="2">MIN(C3:G3)</f>
        <v>55</v>
      </c>
      <c r="K3">
        <f t="shared" ref="K3:K16" si="3">MAX(C3:G3)</f>
        <v>70</v>
      </c>
      <c r="L3" t="str">
        <f t="shared" ref="L3:L16" si="4">UPPER(B3)</f>
        <v>KEYUR MEDPARA</v>
      </c>
      <c r="M3" t="str">
        <f t="shared" ref="M3:M16" si="5">LOWER(B3)</f>
        <v>keyur medpara</v>
      </c>
      <c r="N3" t="str">
        <f t="shared" ref="N3:N16" si="6">PROPER(B3)</f>
        <v>Keyur Medpara</v>
      </c>
      <c r="O3">
        <f t="shared" ref="O3:O16" si="7">AVERAGE(C3:G3)</f>
        <v>61</v>
      </c>
      <c r="P3" t="str">
        <f t="shared" ref="P3:P16" si="8">IF(O3&gt;=90,"A+",IF(O3&gt;=80,"A",IF(O3&gt;=70,"B+",IF(O3&gt;=60,"B",IF(O3&gt;=50,"C","FAIL")))))</f>
        <v>B</v>
      </c>
      <c r="Q3" t="str">
        <f>_xlfn.CONCAT(A3,"-",B3)</f>
        <v>102-Keyur Medpara</v>
      </c>
      <c r="R3" t="str">
        <f t="shared" ref="R3:R16" si="9">TRIM(B3)</f>
        <v>Keyur Medpara</v>
      </c>
    </row>
    <row r="4" spans="1:18" x14ac:dyDescent="0.3">
      <c r="A4" s="1">
        <v>103</v>
      </c>
      <c r="B4" s="1" t="s">
        <v>9</v>
      </c>
      <c r="C4" s="2">
        <v>92</v>
      </c>
      <c r="D4" s="2">
        <v>88</v>
      </c>
      <c r="E4" s="2">
        <v>85</v>
      </c>
      <c r="F4" s="2">
        <v>90</v>
      </c>
      <c r="G4" s="2">
        <v>87</v>
      </c>
      <c r="H4">
        <f t="shared" si="0"/>
        <v>442</v>
      </c>
      <c r="I4" s="4">
        <f t="shared" si="1"/>
        <v>0.88400000000000001</v>
      </c>
      <c r="J4">
        <f t="shared" si="2"/>
        <v>85</v>
      </c>
      <c r="K4">
        <f t="shared" si="3"/>
        <v>92</v>
      </c>
      <c r="L4" t="str">
        <f t="shared" si="4"/>
        <v>RAHUL PATEL</v>
      </c>
      <c r="M4" t="str">
        <f t="shared" si="5"/>
        <v>rahul patel</v>
      </c>
      <c r="N4" t="str">
        <f t="shared" si="6"/>
        <v>Rahul Patel</v>
      </c>
      <c r="O4">
        <f t="shared" si="7"/>
        <v>88.4</v>
      </c>
      <c r="P4" t="str">
        <f t="shared" si="8"/>
        <v>A</v>
      </c>
      <c r="Q4" t="str">
        <f>_xlfn.CONCAT(A4,"-",B4)</f>
        <v>103-Rahul Patel</v>
      </c>
      <c r="R4" t="str">
        <f t="shared" si="9"/>
        <v>Rahul Patel</v>
      </c>
    </row>
    <row r="5" spans="1:18" x14ac:dyDescent="0.3">
      <c r="A5" s="1">
        <v>104</v>
      </c>
      <c r="B5" s="1" t="s">
        <v>10</v>
      </c>
      <c r="C5" s="2">
        <v>66</v>
      </c>
      <c r="D5" s="2">
        <v>74</v>
      </c>
      <c r="E5" s="2">
        <v>70</v>
      </c>
      <c r="F5" s="2">
        <v>68</v>
      </c>
      <c r="G5" s="2">
        <v>72</v>
      </c>
      <c r="H5">
        <f t="shared" si="0"/>
        <v>350</v>
      </c>
      <c r="I5" s="4">
        <f t="shared" si="1"/>
        <v>0.7</v>
      </c>
      <c r="J5">
        <f t="shared" si="2"/>
        <v>66</v>
      </c>
      <c r="K5">
        <f t="shared" si="3"/>
        <v>74</v>
      </c>
      <c r="L5" t="str">
        <f t="shared" si="4"/>
        <v>ANUJ PATEL</v>
      </c>
      <c r="M5" t="str">
        <f t="shared" si="5"/>
        <v>anuj patel</v>
      </c>
      <c r="N5" t="str">
        <f t="shared" si="6"/>
        <v>Anuj Patel</v>
      </c>
      <c r="O5">
        <f t="shared" si="7"/>
        <v>70</v>
      </c>
      <c r="P5" t="str">
        <f t="shared" si="8"/>
        <v>B+</v>
      </c>
      <c r="Q5" t="str">
        <f>_xlfn.CONCAT(A5,"-",B5)</f>
        <v>104-Anuj Patel</v>
      </c>
      <c r="R5" t="str">
        <f t="shared" si="9"/>
        <v>Anuj Patel</v>
      </c>
    </row>
    <row r="6" spans="1:18" x14ac:dyDescent="0.3">
      <c r="A6" s="1">
        <v>105</v>
      </c>
      <c r="B6" s="1" t="s">
        <v>11</v>
      </c>
      <c r="C6" s="2">
        <v>45</v>
      </c>
      <c r="D6" s="2">
        <v>50</v>
      </c>
      <c r="E6" s="2">
        <v>55</v>
      </c>
      <c r="F6" s="2">
        <v>48</v>
      </c>
      <c r="G6" s="2">
        <v>52</v>
      </c>
      <c r="H6">
        <f t="shared" si="0"/>
        <v>250</v>
      </c>
      <c r="I6" s="4">
        <f t="shared" si="1"/>
        <v>0.5</v>
      </c>
      <c r="J6">
        <f t="shared" si="2"/>
        <v>45</v>
      </c>
      <c r="K6">
        <f t="shared" si="3"/>
        <v>55</v>
      </c>
      <c r="L6" t="str">
        <f t="shared" si="4"/>
        <v>PREET PATEL</v>
      </c>
      <c r="M6" t="str">
        <f t="shared" si="5"/>
        <v>preet patel</v>
      </c>
      <c r="N6" t="str">
        <f t="shared" si="6"/>
        <v>Preet Patel</v>
      </c>
      <c r="O6">
        <f t="shared" si="7"/>
        <v>50</v>
      </c>
      <c r="P6" t="str">
        <f t="shared" si="8"/>
        <v>C</v>
      </c>
      <c r="Q6" t="str">
        <f>_xlfn.CONCAT(A6,"-",B6)</f>
        <v>105-Preet Patel</v>
      </c>
      <c r="R6" t="str">
        <f t="shared" si="9"/>
        <v>Preet Patel</v>
      </c>
    </row>
    <row r="7" spans="1:18" x14ac:dyDescent="0.3">
      <c r="A7" s="1">
        <v>106</v>
      </c>
      <c r="B7" s="1" t="s">
        <v>12</v>
      </c>
      <c r="C7" s="2">
        <v>81</v>
      </c>
      <c r="D7" s="2">
        <v>79</v>
      </c>
      <c r="E7" s="2">
        <v>84</v>
      </c>
      <c r="F7" s="2">
        <v>77</v>
      </c>
      <c r="G7" s="2">
        <v>83</v>
      </c>
      <c r="H7">
        <f t="shared" si="0"/>
        <v>404</v>
      </c>
      <c r="I7" s="4">
        <f t="shared" si="1"/>
        <v>0.80799999999999994</v>
      </c>
      <c r="J7">
        <f t="shared" si="2"/>
        <v>77</v>
      </c>
      <c r="K7">
        <f t="shared" si="3"/>
        <v>84</v>
      </c>
      <c r="L7" t="str">
        <f t="shared" si="4"/>
        <v>HEET PATEL</v>
      </c>
      <c r="M7" t="str">
        <f t="shared" si="5"/>
        <v>heet patel</v>
      </c>
      <c r="N7" t="str">
        <f t="shared" si="6"/>
        <v>Heet Patel</v>
      </c>
      <c r="O7">
        <f t="shared" si="7"/>
        <v>80.8</v>
      </c>
      <c r="P7" t="str">
        <f t="shared" si="8"/>
        <v>A</v>
      </c>
      <c r="Q7" t="str">
        <f>_xlfn.CONCAT(A7,"-",B7)</f>
        <v>106-Heet Patel</v>
      </c>
      <c r="R7" t="str">
        <f t="shared" si="9"/>
        <v>Heet Patel</v>
      </c>
    </row>
    <row r="8" spans="1:18" x14ac:dyDescent="0.3">
      <c r="A8" s="1">
        <v>107</v>
      </c>
      <c r="B8" s="1" t="s">
        <v>13</v>
      </c>
      <c r="C8" s="2">
        <v>69</v>
      </c>
      <c r="D8" s="2">
        <v>72</v>
      </c>
      <c r="E8" s="2">
        <v>65</v>
      </c>
      <c r="F8" s="2">
        <v>70</v>
      </c>
      <c r="G8" s="2">
        <v>68</v>
      </c>
      <c r="H8">
        <f t="shared" si="0"/>
        <v>344</v>
      </c>
      <c r="I8" s="4">
        <f t="shared" si="1"/>
        <v>0.68799999999999994</v>
      </c>
      <c r="J8">
        <f t="shared" si="2"/>
        <v>65</v>
      </c>
      <c r="K8">
        <f t="shared" si="3"/>
        <v>72</v>
      </c>
      <c r="L8" t="str">
        <f t="shared" si="4"/>
        <v>JENIL DOBARIYA</v>
      </c>
      <c r="M8" t="str">
        <f t="shared" si="5"/>
        <v>jenil dobariya</v>
      </c>
      <c r="N8" t="str">
        <f t="shared" si="6"/>
        <v>Jenil Dobariya</v>
      </c>
      <c r="O8">
        <f t="shared" si="7"/>
        <v>68.8</v>
      </c>
      <c r="P8" t="str">
        <f t="shared" si="8"/>
        <v>B</v>
      </c>
      <c r="Q8" t="str">
        <f>_xlfn.CONCAT(A8,"-",B8)</f>
        <v>107-Jenil Dobariya</v>
      </c>
      <c r="R8" t="str">
        <f t="shared" si="9"/>
        <v>Jenil Dobariya</v>
      </c>
    </row>
    <row r="9" spans="1:18" x14ac:dyDescent="0.3">
      <c r="A9" s="1">
        <v>108</v>
      </c>
      <c r="B9" s="1" t="s">
        <v>14</v>
      </c>
      <c r="C9" s="2">
        <v>88</v>
      </c>
      <c r="D9" s="2">
        <v>91</v>
      </c>
      <c r="E9" s="2">
        <v>86</v>
      </c>
      <c r="F9" s="2">
        <v>90</v>
      </c>
      <c r="G9" s="2">
        <v>89</v>
      </c>
      <c r="H9">
        <f t="shared" si="0"/>
        <v>444</v>
      </c>
      <c r="I9" s="4">
        <f t="shared" si="1"/>
        <v>0.88800000000000001</v>
      </c>
      <c r="J9">
        <f t="shared" si="2"/>
        <v>86</v>
      </c>
      <c r="K9">
        <f t="shared" si="3"/>
        <v>91</v>
      </c>
      <c r="L9" t="str">
        <f t="shared" si="4"/>
        <v>VRAJ FALDU</v>
      </c>
      <c r="M9" t="str">
        <f t="shared" si="5"/>
        <v>vraj faldu</v>
      </c>
      <c r="N9" t="str">
        <f t="shared" si="6"/>
        <v>Vraj Faldu</v>
      </c>
      <c r="O9">
        <f t="shared" si="7"/>
        <v>88.8</v>
      </c>
      <c r="P9" t="str">
        <f t="shared" si="8"/>
        <v>A</v>
      </c>
      <c r="Q9" t="str">
        <f>_xlfn.CONCAT(A9,"-",B9)</f>
        <v>108-Vraj Faldu</v>
      </c>
      <c r="R9" t="str">
        <f t="shared" si="9"/>
        <v>Vraj Faldu</v>
      </c>
    </row>
    <row r="10" spans="1:18" x14ac:dyDescent="0.3">
      <c r="A10" s="1">
        <v>109</v>
      </c>
      <c r="B10" s="1" t="s">
        <v>15</v>
      </c>
      <c r="C10" s="2">
        <v>53</v>
      </c>
      <c r="D10" s="2">
        <v>60</v>
      </c>
      <c r="E10" s="2">
        <v>57</v>
      </c>
      <c r="F10" s="2">
        <v>55</v>
      </c>
      <c r="G10" s="2">
        <v>59</v>
      </c>
      <c r="H10">
        <f t="shared" si="0"/>
        <v>284</v>
      </c>
      <c r="I10" s="4">
        <f t="shared" si="1"/>
        <v>0.56799999999999995</v>
      </c>
      <c r="J10">
        <f t="shared" si="2"/>
        <v>53</v>
      </c>
      <c r="K10">
        <f t="shared" si="3"/>
        <v>60</v>
      </c>
      <c r="L10" t="str">
        <f t="shared" si="4"/>
        <v>DARSHAN SAVALIYA</v>
      </c>
      <c r="M10" t="str">
        <f t="shared" si="5"/>
        <v>darshan savaliya</v>
      </c>
      <c r="N10" t="str">
        <f t="shared" si="6"/>
        <v>Darshan Savaliya</v>
      </c>
      <c r="O10">
        <f t="shared" si="7"/>
        <v>56.8</v>
      </c>
      <c r="P10" t="str">
        <f t="shared" si="8"/>
        <v>C</v>
      </c>
      <c r="Q10" t="str">
        <f>_xlfn.CONCAT(A10,"-",B10)</f>
        <v>109-Darshan Savaliya</v>
      </c>
      <c r="R10" t="str">
        <f t="shared" si="9"/>
        <v>Darshan Savaliya</v>
      </c>
    </row>
    <row r="11" spans="1:18" x14ac:dyDescent="0.3">
      <c r="A11" s="1">
        <v>110</v>
      </c>
      <c r="B11" s="1" t="s">
        <v>16</v>
      </c>
      <c r="C11" s="2">
        <v>74</v>
      </c>
      <c r="D11" s="2">
        <v>78</v>
      </c>
      <c r="E11" s="2">
        <v>80</v>
      </c>
      <c r="F11" s="2">
        <v>76</v>
      </c>
      <c r="G11" s="2">
        <v>82</v>
      </c>
      <c r="H11">
        <f t="shared" si="0"/>
        <v>390</v>
      </c>
      <c r="I11" s="4">
        <f t="shared" si="1"/>
        <v>0.78</v>
      </c>
      <c r="J11">
        <f t="shared" si="2"/>
        <v>74</v>
      </c>
      <c r="K11">
        <f t="shared" si="3"/>
        <v>82</v>
      </c>
      <c r="L11" t="str">
        <f t="shared" si="4"/>
        <v>LIPSIT KATARIA</v>
      </c>
      <c r="M11" t="str">
        <f t="shared" si="5"/>
        <v>lipsit kataria</v>
      </c>
      <c r="N11" t="str">
        <f t="shared" si="6"/>
        <v>Lipsit Kataria</v>
      </c>
      <c r="O11">
        <f t="shared" si="7"/>
        <v>78</v>
      </c>
      <c r="P11" t="str">
        <f t="shared" si="8"/>
        <v>B+</v>
      </c>
      <c r="Q11" t="str">
        <f>_xlfn.CONCAT(A11,"-",B11)</f>
        <v>110-Lipsit Kataria</v>
      </c>
      <c r="R11" t="str">
        <f t="shared" si="9"/>
        <v>Lipsit Kataria</v>
      </c>
    </row>
    <row r="12" spans="1:18" x14ac:dyDescent="0.3">
      <c r="A12" s="1">
        <v>111</v>
      </c>
      <c r="B12" s="1" t="s">
        <v>17</v>
      </c>
      <c r="C12" s="2">
        <v>62</v>
      </c>
      <c r="D12" s="2">
        <v>65</v>
      </c>
      <c r="E12" s="2">
        <v>60</v>
      </c>
      <c r="F12" s="2">
        <v>63</v>
      </c>
      <c r="G12" s="2">
        <v>67</v>
      </c>
      <c r="H12">
        <f t="shared" si="0"/>
        <v>317</v>
      </c>
      <c r="I12" s="4">
        <f t="shared" si="1"/>
        <v>0.63400000000000001</v>
      </c>
      <c r="J12">
        <f t="shared" si="2"/>
        <v>60</v>
      </c>
      <c r="K12">
        <f t="shared" si="3"/>
        <v>67</v>
      </c>
      <c r="L12" t="str">
        <f t="shared" si="4"/>
        <v>RUDRA PRAHJAPATI</v>
      </c>
      <c r="M12" t="str">
        <f t="shared" si="5"/>
        <v>rudra prahjapati</v>
      </c>
      <c r="N12" t="str">
        <f t="shared" si="6"/>
        <v>Rudra Prahjapati</v>
      </c>
      <c r="O12">
        <f t="shared" si="7"/>
        <v>63.4</v>
      </c>
      <c r="P12" t="str">
        <f t="shared" si="8"/>
        <v>B</v>
      </c>
      <c r="Q12" t="str">
        <f>_xlfn.CONCAT(A12,"-",B12)</f>
        <v>111-Rudra Prahjapati</v>
      </c>
      <c r="R12" t="str">
        <f t="shared" si="9"/>
        <v>Rudra Prahjapati</v>
      </c>
    </row>
    <row r="13" spans="1:18" x14ac:dyDescent="0.3">
      <c r="A13" s="1">
        <v>112</v>
      </c>
      <c r="B13" s="1" t="s">
        <v>18</v>
      </c>
      <c r="C13" s="2">
        <v>95</v>
      </c>
      <c r="D13" s="2">
        <v>92</v>
      </c>
      <c r="E13" s="2">
        <v>94</v>
      </c>
      <c r="F13" s="2">
        <v>96</v>
      </c>
      <c r="G13" s="2">
        <v>93</v>
      </c>
      <c r="H13">
        <f t="shared" si="0"/>
        <v>470</v>
      </c>
      <c r="I13" s="4">
        <f t="shared" si="1"/>
        <v>0.94</v>
      </c>
      <c r="J13">
        <f t="shared" si="2"/>
        <v>92</v>
      </c>
      <c r="K13">
        <f t="shared" si="3"/>
        <v>96</v>
      </c>
      <c r="L13" t="str">
        <f t="shared" si="4"/>
        <v>JEEL PANDYA</v>
      </c>
      <c r="M13" t="str">
        <f t="shared" si="5"/>
        <v>jeel pandya</v>
      </c>
      <c r="N13" t="str">
        <f t="shared" si="6"/>
        <v>Jeel Pandya</v>
      </c>
      <c r="O13">
        <f t="shared" si="7"/>
        <v>94</v>
      </c>
      <c r="P13" t="str">
        <f t="shared" si="8"/>
        <v>A+</v>
      </c>
      <c r="Q13" t="str">
        <f>_xlfn.CONCAT(A13,"-",B13)</f>
        <v>112-Jeel Pandya</v>
      </c>
      <c r="R13" t="str">
        <f t="shared" si="9"/>
        <v>Jeel Pandya</v>
      </c>
    </row>
    <row r="14" spans="1:18" x14ac:dyDescent="0.3">
      <c r="A14" s="1">
        <v>113</v>
      </c>
      <c r="B14" s="1" t="s">
        <v>19</v>
      </c>
      <c r="C14" s="2">
        <v>58</v>
      </c>
      <c r="D14" s="2">
        <v>55</v>
      </c>
      <c r="E14" s="2">
        <v>60</v>
      </c>
      <c r="F14" s="2">
        <v>62</v>
      </c>
      <c r="G14" s="2">
        <v>59</v>
      </c>
      <c r="H14">
        <f t="shared" si="0"/>
        <v>294</v>
      </c>
      <c r="I14" s="4">
        <f t="shared" si="1"/>
        <v>0.58799999999999997</v>
      </c>
      <c r="J14">
        <f t="shared" si="2"/>
        <v>55</v>
      </c>
      <c r="K14">
        <f t="shared" si="3"/>
        <v>62</v>
      </c>
      <c r="L14" t="str">
        <f t="shared" si="4"/>
        <v>PRINCE LIMBASIYA</v>
      </c>
      <c r="M14" t="str">
        <f t="shared" si="5"/>
        <v>prince limbasiya</v>
      </c>
      <c r="N14" t="str">
        <f t="shared" si="6"/>
        <v>Prince Limbasiya</v>
      </c>
      <c r="O14">
        <f t="shared" si="7"/>
        <v>58.8</v>
      </c>
      <c r="P14" t="str">
        <f t="shared" si="8"/>
        <v>C</v>
      </c>
      <c r="Q14" t="str">
        <f>_xlfn.CONCAT(A14,"-",B14)</f>
        <v>113-Prince Limbasiya</v>
      </c>
      <c r="R14" t="str">
        <f t="shared" si="9"/>
        <v>Prince Limbasiya</v>
      </c>
    </row>
    <row r="15" spans="1:18" x14ac:dyDescent="0.3">
      <c r="A15" s="1">
        <v>114</v>
      </c>
      <c r="B15" s="1" t="s">
        <v>20</v>
      </c>
      <c r="C15" s="2">
        <v>71</v>
      </c>
      <c r="D15" s="2">
        <v>75</v>
      </c>
      <c r="E15" s="2">
        <v>73</v>
      </c>
      <c r="F15" s="2">
        <v>70</v>
      </c>
      <c r="G15" s="2">
        <v>74</v>
      </c>
      <c r="H15">
        <f t="shared" si="0"/>
        <v>363</v>
      </c>
      <c r="I15" s="4">
        <f t="shared" si="1"/>
        <v>0.72599999999999998</v>
      </c>
      <c r="J15">
        <f t="shared" si="2"/>
        <v>70</v>
      </c>
      <c r="K15">
        <f t="shared" si="3"/>
        <v>75</v>
      </c>
      <c r="L15" t="str">
        <f t="shared" si="4"/>
        <v>VISHVAM HAPALIYA</v>
      </c>
      <c r="M15" t="str">
        <f t="shared" si="5"/>
        <v>vishvam hapaliya</v>
      </c>
      <c r="N15" t="str">
        <f t="shared" si="6"/>
        <v>Vishvam Hapaliya</v>
      </c>
      <c r="O15">
        <f t="shared" si="7"/>
        <v>72.599999999999994</v>
      </c>
      <c r="P15" t="str">
        <f t="shared" si="8"/>
        <v>B+</v>
      </c>
      <c r="Q15" t="str">
        <f>_xlfn.CONCAT(A15,"-",B15)</f>
        <v>114-Vishvam Hapaliya</v>
      </c>
      <c r="R15" t="str">
        <f t="shared" si="9"/>
        <v>Vishvam Hapaliya</v>
      </c>
    </row>
    <row r="16" spans="1:18" x14ac:dyDescent="0.3">
      <c r="A16" s="1">
        <v>115</v>
      </c>
      <c r="B16" s="1" t="s">
        <v>21</v>
      </c>
      <c r="C16" s="2">
        <v>84</v>
      </c>
      <c r="D16" s="2">
        <v>87</v>
      </c>
      <c r="E16" s="2">
        <v>82</v>
      </c>
      <c r="F16" s="2">
        <v>85</v>
      </c>
      <c r="G16" s="2">
        <v>83</v>
      </c>
      <c r="H16">
        <f t="shared" si="0"/>
        <v>421</v>
      </c>
      <c r="I16" s="4">
        <f t="shared" si="1"/>
        <v>0.84200000000000008</v>
      </c>
      <c r="J16">
        <f t="shared" si="2"/>
        <v>82</v>
      </c>
      <c r="K16">
        <f t="shared" si="3"/>
        <v>87</v>
      </c>
      <c r="L16" t="str">
        <f t="shared" si="4"/>
        <v>KHUSH GHETIYA</v>
      </c>
      <c r="M16" t="str">
        <f t="shared" si="5"/>
        <v>khush ghetiya</v>
      </c>
      <c r="N16" t="str">
        <f t="shared" si="6"/>
        <v>Khush Ghetiya</v>
      </c>
      <c r="O16">
        <f t="shared" si="7"/>
        <v>84.2</v>
      </c>
      <c r="P16" t="str">
        <f t="shared" si="8"/>
        <v>A</v>
      </c>
      <c r="Q16" t="str">
        <f>_xlfn.CONCAT(A16,"-",B16)</f>
        <v>115-Khush Ghetiya</v>
      </c>
      <c r="R16" t="str">
        <f t="shared" si="9"/>
        <v>Khush Ghetiya</v>
      </c>
    </row>
    <row r="18" spans="3:4" x14ac:dyDescent="0.3">
      <c r="C18" t="s">
        <v>29</v>
      </c>
      <c r="D18">
        <f>COUNT(C2:C16)</f>
        <v>15</v>
      </c>
    </row>
    <row r="19" spans="3:4" x14ac:dyDescent="0.3">
      <c r="C19" t="s">
        <v>30</v>
      </c>
      <c r="D19">
        <f>COUNTA(B2:B16)</f>
        <v>15</v>
      </c>
    </row>
    <row r="20" spans="3:4" x14ac:dyDescent="0.3">
      <c r="C20" t="s">
        <v>35</v>
      </c>
      <c r="D20">
        <f>COUNTIF(H2:H16,"&gt;300")</f>
        <v>12</v>
      </c>
    </row>
  </sheetData>
  <pageMargins left="0.7" right="0.7" top="0.75" bottom="0.75" header="0.3" footer="0.3"/>
  <pageSetup orientation="portrait" r:id="rId1"/>
  <headerFooter>
    <oddHeader>&amp;L&amp;G</oddHeader>
    <oddFooter>&amp;C&amp;P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ADC9-5985-4878-B9AB-E978B581A2B7}">
  <dimension ref="A1:F16"/>
  <sheetViews>
    <sheetView tabSelected="1" workbookViewId="0">
      <selection activeCell="G18" sqref="G18"/>
    </sheetView>
  </sheetViews>
  <sheetFormatPr defaultRowHeight="14.4" x14ac:dyDescent="0.3"/>
  <cols>
    <col min="1" max="1" width="15.33203125" customWidth="1"/>
  </cols>
  <sheetData>
    <row r="1" spans="1:6" x14ac:dyDescent="0.3">
      <c r="A1" s="3" t="s">
        <v>36</v>
      </c>
      <c r="B1" s="3">
        <v>101</v>
      </c>
      <c r="C1" s="3">
        <v>102</v>
      </c>
      <c r="D1" s="3">
        <v>103</v>
      </c>
      <c r="E1" s="3">
        <v>104</v>
      </c>
      <c r="F1" s="3">
        <v>105</v>
      </c>
    </row>
    <row r="2" spans="1:6" x14ac:dyDescent="0.3">
      <c r="A2" t="s">
        <v>37</v>
      </c>
      <c r="B2">
        <v>85</v>
      </c>
      <c r="C2">
        <v>65</v>
      </c>
      <c r="D2">
        <v>92</v>
      </c>
      <c r="E2">
        <v>55</v>
      </c>
      <c r="F2">
        <v>75</v>
      </c>
    </row>
    <row r="3" spans="1:6" x14ac:dyDescent="0.3">
      <c r="A3" t="s">
        <v>38</v>
      </c>
      <c r="B3">
        <v>78</v>
      </c>
      <c r="C3">
        <v>70</v>
      </c>
      <c r="D3">
        <v>89</v>
      </c>
      <c r="E3">
        <v>60</v>
      </c>
      <c r="F3">
        <v>80</v>
      </c>
    </row>
    <row r="4" spans="1:6" x14ac:dyDescent="0.3">
      <c r="A4" t="s">
        <v>39</v>
      </c>
      <c r="B4">
        <v>90</v>
      </c>
      <c r="C4">
        <v>60</v>
      </c>
      <c r="D4">
        <v>95</v>
      </c>
      <c r="E4">
        <v>58</v>
      </c>
      <c r="F4">
        <v>78</v>
      </c>
    </row>
    <row r="5" spans="1:6" x14ac:dyDescent="0.3">
      <c r="A5" t="s">
        <v>40</v>
      </c>
      <c r="B5">
        <v>88</v>
      </c>
      <c r="C5">
        <v>72</v>
      </c>
      <c r="D5">
        <v>94</v>
      </c>
      <c r="E5">
        <v>62</v>
      </c>
      <c r="F5">
        <v>82</v>
      </c>
    </row>
    <row r="6" spans="1:6" x14ac:dyDescent="0.3">
      <c r="A6" t="s">
        <v>41</v>
      </c>
      <c r="B6">
        <f>SUM(B2:B5)</f>
        <v>341</v>
      </c>
      <c r="C6">
        <f>SUM(C2:C5)</f>
        <v>267</v>
      </c>
      <c r="D6">
        <f>SUM(D2:D5)</f>
        <v>370</v>
      </c>
      <c r="E6">
        <f>SUM(E2:E5)</f>
        <v>235</v>
      </c>
      <c r="F6">
        <f>SUM(F2:F5)</f>
        <v>315</v>
      </c>
    </row>
    <row r="7" spans="1:6" x14ac:dyDescent="0.3">
      <c r="A7" t="s">
        <v>42</v>
      </c>
      <c r="B7" s="5">
        <v>0.8</v>
      </c>
      <c r="C7" s="5">
        <v>0.65</v>
      </c>
      <c r="D7" s="5">
        <v>0.87</v>
      </c>
      <c r="E7" s="5">
        <v>0.55000000000000004</v>
      </c>
      <c r="F7" s="5">
        <v>0.75</v>
      </c>
    </row>
    <row r="8" spans="1:6" x14ac:dyDescent="0.3">
      <c r="A8" t="s">
        <v>32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11" spans="1:6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6" x14ac:dyDescent="0.3">
      <c r="A12">
        <v>101</v>
      </c>
      <c r="B12">
        <f>HLOOKUP(A12,$A$1:$F$8,2,FALSE)</f>
        <v>85</v>
      </c>
      <c r="C12">
        <f>HLOOKUP(A12,$A$1:$F$8,3,FALSE)</f>
        <v>78</v>
      </c>
      <c r="D12">
        <f>HLOOKUP(A12,$A$1:$F$8,4,FALSE)</f>
        <v>90</v>
      </c>
      <c r="E12">
        <f>HLOOKUP(A12,$A$1:$F$8,5,FALSE)</f>
        <v>88</v>
      </c>
    </row>
    <row r="13" spans="1:6" x14ac:dyDescent="0.3">
      <c r="A13">
        <v>102</v>
      </c>
      <c r="B13">
        <f t="shared" ref="B13:B16" si="0">HLOOKUP(A13,$A$1:$F$8,2,FALSE)</f>
        <v>65</v>
      </c>
      <c r="C13">
        <f t="shared" ref="C13:C16" si="1">HLOOKUP(A13,$A$1:$F$8,3,FALSE)</f>
        <v>70</v>
      </c>
      <c r="D13">
        <f t="shared" ref="D13:D16" si="2">HLOOKUP(A13,$A$1:$F$8,4,FALSE)</f>
        <v>60</v>
      </c>
      <c r="E13">
        <f t="shared" ref="E13:E16" si="3">HLOOKUP(A13,$A$1:$F$8,5,FALSE)</f>
        <v>72</v>
      </c>
    </row>
    <row r="14" spans="1:6" x14ac:dyDescent="0.3">
      <c r="A14">
        <v>103</v>
      </c>
      <c r="B14">
        <f t="shared" si="0"/>
        <v>92</v>
      </c>
      <c r="C14">
        <f t="shared" si="1"/>
        <v>89</v>
      </c>
      <c r="D14">
        <f t="shared" si="2"/>
        <v>95</v>
      </c>
      <c r="E14">
        <f t="shared" si="3"/>
        <v>94</v>
      </c>
    </row>
    <row r="15" spans="1:6" x14ac:dyDescent="0.3">
      <c r="A15">
        <v>104</v>
      </c>
      <c r="B15">
        <f t="shared" si="0"/>
        <v>55</v>
      </c>
      <c r="C15">
        <f t="shared" si="1"/>
        <v>60</v>
      </c>
      <c r="D15">
        <f t="shared" si="2"/>
        <v>58</v>
      </c>
      <c r="E15">
        <f t="shared" si="3"/>
        <v>62</v>
      </c>
    </row>
    <row r="16" spans="1:6" x14ac:dyDescent="0.3">
      <c r="A16">
        <v>105</v>
      </c>
      <c r="B16">
        <f t="shared" si="0"/>
        <v>75</v>
      </c>
      <c r="C16">
        <f t="shared" si="1"/>
        <v>80</v>
      </c>
      <c r="D16">
        <f t="shared" si="2"/>
        <v>78</v>
      </c>
      <c r="E16">
        <f t="shared" si="3"/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 Hedpara</dc:creator>
  <cp:lastModifiedBy>Spandan Hedpara</cp:lastModifiedBy>
  <dcterms:created xsi:type="dcterms:W3CDTF">2026-08-04T07:00:16Z</dcterms:created>
  <dcterms:modified xsi:type="dcterms:W3CDTF">2026-08-04T07:58:57Z</dcterms:modified>
</cp:coreProperties>
</file>