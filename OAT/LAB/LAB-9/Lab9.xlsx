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 3\OAT\class\"/>
    </mc:Choice>
  </mc:AlternateContent>
  <xr:revisionPtr revIDLastSave="0" documentId="13_ncr:1_{948816FB-4451-4E9F-B0E1-96A09E5209E6}" xr6:coauthVersionLast="47" xr6:coauthVersionMax="47" xr10:uidLastSave="{00000000-0000-0000-0000-000000000000}"/>
  <bookViews>
    <workbookView xWindow="-108" yWindow="-108" windowWidth="23256" windowHeight="13176" activeTab="1" xr2:uid="{A3E6456F-22AF-405F-A64E-21FCAFC74546}"/>
  </bookViews>
  <sheets>
    <sheet name="Sheet1" sheetId="1" r:id="rId1"/>
    <sheet name="Sheet2" sheetId="2" r:id="rId2"/>
  </sheet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I2" i="1"/>
  <c r="H2" i="1"/>
  <c r="G2" i="1"/>
</calcChain>
</file>

<file path=xl/sharedStrings.xml><?xml version="1.0" encoding="utf-8"?>
<sst xmlns="http://schemas.openxmlformats.org/spreadsheetml/2006/main" count="119" uniqueCount="58">
  <si>
    <t>Name</t>
  </si>
  <si>
    <t>Age</t>
  </si>
  <si>
    <t>Department</t>
  </si>
  <si>
    <t>Salary</t>
  </si>
  <si>
    <t>Experience (Years)</t>
  </si>
  <si>
    <t>Sales</t>
  </si>
  <si>
    <t>Aditi</t>
  </si>
  <si>
    <t>HR</t>
  </si>
  <si>
    <t>Bharat</t>
  </si>
  <si>
    <t>IT</t>
  </si>
  <si>
    <t>Chitra</t>
  </si>
  <si>
    <t>Finance</t>
  </si>
  <si>
    <t>Dev</t>
  </si>
  <si>
    <t>Marketing</t>
  </si>
  <si>
    <t>Esha</t>
  </si>
  <si>
    <t>Farhan</t>
  </si>
  <si>
    <t>Gauri</t>
  </si>
  <si>
    <t>Harsh</t>
  </si>
  <si>
    <t>Ishita</t>
  </si>
  <si>
    <t>Jay</t>
  </si>
  <si>
    <t>Kavya</t>
  </si>
  <si>
    <t>Lalit</t>
  </si>
  <si>
    <t>Meera</t>
  </si>
  <si>
    <t>Nikhil</t>
  </si>
  <si>
    <t>Omkar</t>
  </si>
  <si>
    <t>Priya</t>
  </si>
  <si>
    <t>Qasim</t>
  </si>
  <si>
    <t>Riya</t>
  </si>
  <si>
    <t>Sameer</t>
  </si>
  <si>
    <t>Tanvi</t>
  </si>
  <si>
    <t>Uday</t>
  </si>
  <si>
    <t>Varsha</t>
  </si>
  <si>
    <t>Wasim</t>
  </si>
  <si>
    <t>Xena</t>
  </si>
  <si>
    <t>Yash</t>
  </si>
  <si>
    <t>Zara</t>
  </si>
  <si>
    <t>Aarav</t>
  </si>
  <si>
    <t>Bhavna</t>
  </si>
  <si>
    <t>Chirag</t>
  </si>
  <si>
    <t>Diya</t>
  </si>
  <si>
    <t>count</t>
  </si>
  <si>
    <t>CountIf</t>
  </si>
  <si>
    <t>Sumif</t>
  </si>
  <si>
    <t>GRADE</t>
  </si>
  <si>
    <t>8 Year Exp</t>
  </si>
  <si>
    <t>Region</t>
  </si>
  <si>
    <t>Product</t>
  </si>
  <si>
    <t>North</t>
  </si>
  <si>
    <t>South</t>
  </si>
  <si>
    <t xml:space="preserve">East </t>
  </si>
  <si>
    <t xml:space="preserve">West </t>
  </si>
  <si>
    <t>Laptop</t>
  </si>
  <si>
    <t>Mobile</t>
  </si>
  <si>
    <t>Tablet</t>
  </si>
  <si>
    <t>Row Labels</t>
  </si>
  <si>
    <t>Grand Total</t>
  </si>
  <si>
    <t>Sum of Sales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</si>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</sst>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5">
    <dxf>
      <alignment horizontal="center"/>
    </dxf>
    <dxf>
      <alignment horizontal="center"/>
    </dxf>
    <dxf>
      <alignment horizontal="right"/>
    </dxf>
    <dxf>
      <alignment vertic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Sheet1!$D$2:$D$31</c:f>
              <c:numCache>
                <c:formatCode>General</c:formatCode>
                <c:ptCount val="30"/>
                <c:pt idx="0">
                  <c:v>32000</c:v>
                </c:pt>
                <c:pt idx="1">
                  <c:v>45000</c:v>
                </c:pt>
                <c:pt idx="2">
                  <c:v>50000</c:v>
                </c:pt>
                <c:pt idx="3">
                  <c:v>35000</c:v>
                </c:pt>
                <c:pt idx="4">
                  <c:v>40000</c:v>
                </c:pt>
                <c:pt idx="5">
                  <c:v>52000</c:v>
                </c:pt>
                <c:pt idx="6">
                  <c:v>33000</c:v>
                </c:pt>
                <c:pt idx="7">
                  <c:v>60000</c:v>
                </c:pt>
                <c:pt idx="8">
                  <c:v>31000</c:v>
                </c:pt>
                <c:pt idx="9">
                  <c:v>55000</c:v>
                </c:pt>
                <c:pt idx="10">
                  <c:v>47000</c:v>
                </c:pt>
                <c:pt idx="11">
                  <c:v>38000</c:v>
                </c:pt>
                <c:pt idx="12">
                  <c:v>49000</c:v>
                </c:pt>
                <c:pt idx="13">
                  <c:v>53000</c:v>
                </c:pt>
                <c:pt idx="14">
                  <c:v>36000</c:v>
                </c:pt>
                <c:pt idx="15">
                  <c:v>51000</c:v>
                </c:pt>
                <c:pt idx="16">
                  <c:v>34000</c:v>
                </c:pt>
                <c:pt idx="17">
                  <c:v>42000</c:v>
                </c:pt>
                <c:pt idx="18">
                  <c:v>52000</c:v>
                </c:pt>
                <c:pt idx="19">
                  <c:v>46000</c:v>
                </c:pt>
                <c:pt idx="20">
                  <c:v>61000</c:v>
                </c:pt>
                <c:pt idx="21">
                  <c:v>37000</c:v>
                </c:pt>
                <c:pt idx="22">
                  <c:v>58000</c:v>
                </c:pt>
                <c:pt idx="23">
                  <c:v>35000</c:v>
                </c:pt>
                <c:pt idx="24">
                  <c:v>49000</c:v>
                </c:pt>
                <c:pt idx="25">
                  <c:v>45000</c:v>
                </c:pt>
                <c:pt idx="26">
                  <c:v>40000</c:v>
                </c:pt>
                <c:pt idx="27">
                  <c:v>47000</c:v>
                </c:pt>
                <c:pt idx="28">
                  <c:v>54000</c:v>
                </c:pt>
                <c:pt idx="29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8F-49CC-9DAC-7AA9121667E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Sheet1!$F$2:$F$31</c:f>
              <c:numCache>
                <c:formatCode>General</c:formatCode>
                <c:ptCount val="30"/>
                <c:pt idx="0">
                  <c:v>150</c:v>
                </c:pt>
                <c:pt idx="1">
                  <c:v>220</c:v>
                </c:pt>
                <c:pt idx="2">
                  <c:v>180</c:v>
                </c:pt>
                <c:pt idx="3">
                  <c:v>210</c:v>
                </c:pt>
                <c:pt idx="4">
                  <c:v>260</c:v>
                </c:pt>
                <c:pt idx="5">
                  <c:v>300</c:v>
                </c:pt>
                <c:pt idx="6">
                  <c:v>140</c:v>
                </c:pt>
                <c:pt idx="7">
                  <c:v>280</c:v>
                </c:pt>
                <c:pt idx="8">
                  <c:v>120</c:v>
                </c:pt>
                <c:pt idx="9">
                  <c:v>350</c:v>
                </c:pt>
                <c:pt idx="10">
                  <c:v>200</c:v>
                </c:pt>
                <c:pt idx="11">
                  <c:v>160</c:v>
                </c:pt>
                <c:pt idx="12">
                  <c:v>190</c:v>
                </c:pt>
                <c:pt idx="13">
                  <c:v>310</c:v>
                </c:pt>
                <c:pt idx="14">
                  <c:v>170</c:v>
                </c:pt>
                <c:pt idx="15">
                  <c:v>240</c:v>
                </c:pt>
                <c:pt idx="16">
                  <c:v>130</c:v>
                </c:pt>
                <c:pt idx="17">
                  <c:v>150</c:v>
                </c:pt>
                <c:pt idx="18">
                  <c:v>290</c:v>
                </c:pt>
                <c:pt idx="19">
                  <c:v>210</c:v>
                </c:pt>
                <c:pt idx="20">
                  <c:v>400</c:v>
                </c:pt>
                <c:pt idx="21">
                  <c:v>180</c:v>
                </c:pt>
                <c:pt idx="22">
                  <c:v>260</c:v>
                </c:pt>
                <c:pt idx="23">
                  <c:v>200</c:v>
                </c:pt>
                <c:pt idx="24">
                  <c:v>230</c:v>
                </c:pt>
                <c:pt idx="25">
                  <c:v>210</c:v>
                </c:pt>
                <c:pt idx="26">
                  <c:v>170</c:v>
                </c:pt>
                <c:pt idx="27">
                  <c:v>200</c:v>
                </c:pt>
                <c:pt idx="28">
                  <c:v>320</c:v>
                </c:pt>
                <c:pt idx="29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8F-49CC-9DAC-7AA912166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31621887"/>
        <c:axId val="1329260175"/>
        <c:axId val="983213055"/>
      </c:bar3DChart>
      <c:catAx>
        <c:axId val="1631621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260175"/>
        <c:crosses val="autoZero"/>
        <c:auto val="1"/>
        <c:lblAlgn val="ctr"/>
        <c:lblOffset val="100"/>
        <c:noMultiLvlLbl val="0"/>
      </c:catAx>
      <c:valAx>
        <c:axId val="132926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621887"/>
        <c:crosses val="autoZero"/>
        <c:crossBetween val="between"/>
      </c:valAx>
      <c:serAx>
        <c:axId val="9832130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26017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Sheet1!$A$2:$A$11</c:f>
              <c:strCache>
                <c:ptCount val="10"/>
                <c:pt idx="0">
                  <c:v>Aditi</c:v>
                </c:pt>
                <c:pt idx="1">
                  <c:v>Bharat</c:v>
                </c:pt>
                <c:pt idx="2">
                  <c:v>Chitra</c:v>
                </c:pt>
                <c:pt idx="3">
                  <c:v>Dev</c:v>
                </c:pt>
                <c:pt idx="4">
                  <c:v>Esha</c:v>
                </c:pt>
                <c:pt idx="5">
                  <c:v>Farhan</c:v>
                </c:pt>
                <c:pt idx="6">
                  <c:v>Gauri</c:v>
                </c:pt>
                <c:pt idx="7">
                  <c:v>Harsh</c:v>
                </c:pt>
                <c:pt idx="8">
                  <c:v>Ishita</c:v>
                </c:pt>
                <c:pt idx="9">
                  <c:v>Jay</c:v>
                </c:pt>
              </c:strCache>
            </c:strRef>
          </c:cat>
          <c:val>
            <c:numRef>
              <c:f>Sheet1!$F$2:$F$11</c:f>
              <c:numCache>
                <c:formatCode>General</c:formatCode>
                <c:ptCount val="10"/>
                <c:pt idx="0">
                  <c:v>150</c:v>
                </c:pt>
                <c:pt idx="1">
                  <c:v>220</c:v>
                </c:pt>
                <c:pt idx="2">
                  <c:v>180</c:v>
                </c:pt>
                <c:pt idx="3">
                  <c:v>210</c:v>
                </c:pt>
                <c:pt idx="4">
                  <c:v>260</c:v>
                </c:pt>
                <c:pt idx="5">
                  <c:v>300</c:v>
                </c:pt>
                <c:pt idx="6">
                  <c:v>140</c:v>
                </c:pt>
                <c:pt idx="7">
                  <c:v>280</c:v>
                </c:pt>
                <c:pt idx="8">
                  <c:v>120</c:v>
                </c:pt>
                <c:pt idx="9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C-455C-8F73-6AD29B037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Sheet1!$B$2:$B$20</c:f>
              <c:numCache>
                <c:formatCode>General</c:formatCode>
                <c:ptCount val="19"/>
                <c:pt idx="0">
                  <c:v>25</c:v>
                </c:pt>
                <c:pt idx="1">
                  <c:v>28</c:v>
                </c:pt>
                <c:pt idx="2">
                  <c:v>30</c:v>
                </c:pt>
                <c:pt idx="3">
                  <c:v>26</c:v>
                </c:pt>
                <c:pt idx="4">
                  <c:v>29</c:v>
                </c:pt>
                <c:pt idx="5">
                  <c:v>31</c:v>
                </c:pt>
                <c:pt idx="6">
                  <c:v>27</c:v>
                </c:pt>
                <c:pt idx="7">
                  <c:v>35</c:v>
                </c:pt>
                <c:pt idx="8">
                  <c:v>24</c:v>
                </c:pt>
                <c:pt idx="9">
                  <c:v>33</c:v>
                </c:pt>
                <c:pt idx="10">
                  <c:v>29</c:v>
                </c:pt>
                <c:pt idx="11">
                  <c:v>32</c:v>
                </c:pt>
                <c:pt idx="12">
                  <c:v>28</c:v>
                </c:pt>
                <c:pt idx="13">
                  <c:v>34</c:v>
                </c:pt>
                <c:pt idx="14">
                  <c:v>26</c:v>
                </c:pt>
                <c:pt idx="15">
                  <c:v>30</c:v>
                </c:pt>
                <c:pt idx="16">
                  <c:v>27</c:v>
                </c:pt>
                <c:pt idx="17">
                  <c:v>25</c:v>
                </c:pt>
                <c:pt idx="18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CC-4DA5-ADF6-E92363B9EC2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Sheet1!$E$2:$E$20</c:f>
              <c:numCache>
                <c:formatCode>General</c:formatCode>
                <c:ptCount val="1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3</c:v>
                </c:pt>
                <c:pt idx="4">
                  <c:v>5</c:v>
                </c:pt>
                <c:pt idx="5">
                  <c:v>7</c:v>
                </c:pt>
                <c:pt idx="6">
                  <c:v>3</c:v>
                </c:pt>
                <c:pt idx="7">
                  <c:v>10</c:v>
                </c:pt>
                <c:pt idx="8">
                  <c:v>1</c:v>
                </c:pt>
                <c:pt idx="9">
                  <c:v>8</c:v>
                </c:pt>
                <c:pt idx="10">
                  <c:v>5</c:v>
                </c:pt>
                <c:pt idx="11">
                  <c:v>6</c:v>
                </c:pt>
                <c:pt idx="12">
                  <c:v>4</c:v>
                </c:pt>
                <c:pt idx="13">
                  <c:v>9</c:v>
                </c:pt>
                <c:pt idx="14">
                  <c:v>2</c:v>
                </c:pt>
                <c:pt idx="15">
                  <c:v>6</c:v>
                </c:pt>
                <c:pt idx="16">
                  <c:v>3</c:v>
                </c:pt>
                <c:pt idx="17">
                  <c:v>2</c:v>
                </c:pt>
                <c:pt idx="1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CC-4DA5-ADF6-E92363B9E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1690559"/>
        <c:axId val="1641595631"/>
      </c:lineChart>
      <c:catAx>
        <c:axId val="16316905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595631"/>
        <c:crosses val="autoZero"/>
        <c:auto val="1"/>
        <c:lblAlgn val="ctr"/>
        <c:lblOffset val="100"/>
        <c:noMultiLvlLbl val="0"/>
      </c:catAx>
      <c:valAx>
        <c:axId val="164159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690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284018</xdr:colOff>
      <xdr:row>2</xdr:row>
      <xdr:rowOff>0</xdr:rowOff>
    </xdr:from>
    <xdr:to>
      <xdr:col>35</xdr:col>
      <xdr:colOff>401782</xdr:colOff>
      <xdr:row>29</xdr:row>
      <xdr:rowOff>131618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F11151-37D6-9545-465D-A85AD77D1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311727</xdr:colOff>
      <xdr:row>29</xdr:row>
      <xdr:rowOff>62345</xdr:rowOff>
    </xdr:from>
    <xdr:to>
      <xdr:col>25</xdr:col>
      <xdr:colOff>6927</xdr:colOff>
      <xdr:row>43</xdr:row>
      <xdr:rowOff>103909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A9C139-9165-C543-0257-EC3958313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602673</xdr:colOff>
      <xdr:row>29</xdr:row>
      <xdr:rowOff>62345</xdr:rowOff>
    </xdr:from>
    <xdr:to>
      <xdr:col>32</xdr:col>
      <xdr:colOff>297873</xdr:colOff>
      <xdr:row>43</xdr:row>
      <xdr:rowOff>103909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6A84FDF-DB98-D67E-F479-3292C9498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pandan" refreshedDate="46245.550328240737" createdVersion="8" refreshedVersion="8" minRefreshableVersion="3" recordCount="10" xr:uid="{216A3B1C-00B8-4FFC-8540-80AFF7DAC0CE}">
  <cacheSource type="worksheet">
    <worksheetSource ref="A1:C11" sheet="Sheet2"/>
  </cacheSource>
  <cacheFields count="3">
    <cacheField name="Region" numFmtId="0">
      <sharedItems count="4">
        <s v="North"/>
        <s v="South"/>
        <s v="East "/>
        <s v="West "/>
      </sharedItems>
    </cacheField>
    <cacheField name="Product" numFmtId="0">
      <sharedItems count="3">
        <s v="Laptop"/>
        <s v="Mobile"/>
        <s v="Tablet"/>
      </sharedItems>
    </cacheField>
    <cacheField name="Sales" numFmtId="0">
      <sharedItems containsSemiMixedTypes="0" containsString="0" containsNumber="1" containsInteger="1" minValue="200" maxValue="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500"/>
  </r>
  <r>
    <x v="1"/>
    <x v="1"/>
    <n v="300"/>
  </r>
  <r>
    <x v="2"/>
    <x v="2"/>
    <n v="200"/>
  </r>
  <r>
    <x v="3"/>
    <x v="1"/>
    <n v="800"/>
  </r>
  <r>
    <x v="0"/>
    <x v="0"/>
    <n v="350"/>
  </r>
  <r>
    <x v="1"/>
    <x v="2"/>
    <n v="450"/>
  </r>
  <r>
    <x v="2"/>
    <x v="1"/>
    <n v="700"/>
  </r>
  <r>
    <x v="3"/>
    <x v="0"/>
    <n v="550"/>
  </r>
  <r>
    <x v="0"/>
    <x v="2"/>
    <n v="750"/>
  </r>
  <r>
    <x v="1"/>
    <x v="0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E3D44D-E0B8-46A1-89D3-20848CB797E3}" name="PivotTable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2:K17" firstHeaderRow="1" firstDataRow="2" firstDataCol="1"/>
  <pivotFields count="3">
    <pivotField axis="axisCol" showAll="0">
      <items count="5">
        <item x="2"/>
        <item x="0"/>
        <item x="1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2" baseField="0" baseItem="0"/>
  </dataFields>
  <formats count="4">
    <format dxfId="4">
      <pivotArea dataOnly="0" labelOnly="1" fieldPosition="0">
        <references count="1">
          <reference field="0" count="1">
            <x v="0"/>
          </reference>
        </references>
      </pivotArea>
    </format>
    <format dxfId="3">
      <pivotArea dataOnly="0" labelOnly="1" fieldPosition="0">
        <references count="1">
          <reference field="0" count="1">
            <x v="0"/>
          </reference>
        </references>
      </pivotArea>
    </format>
    <format dxfId="2">
      <pivotArea collapsedLevelsAreSubtotals="1" fieldPosition="0">
        <references count="2">
          <reference field="0" count="1" selected="0">
            <x v="0"/>
          </reference>
          <reference field="1" count="1">
            <x v="1"/>
          </reference>
        </references>
      </pivotArea>
    </format>
    <format dxfId="0">
      <pivotArea dataOnly="0" labelOnly="1" fieldPosition="0">
        <references count="1">
          <reference field="0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676AA1-AB00-4C2E-8A89-4F0F833A0EB0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J6" firstHeaderRow="1" firstDataRow="1" firstDataCol="1"/>
  <pivotFields count="3">
    <pivotField showAll="0"/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2A68E-1A05-4B40-A260-C86499964C55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:G7" firstHeaderRow="1" firstDataRow="1" firstDataCol="1"/>
  <pivotFields count="3"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B1C22-0455-4D31-96E1-3C17DAF3AA8C}">
  <dimension ref="A1:K31"/>
  <sheetViews>
    <sheetView zoomScale="85" zoomScaleNormal="85" workbookViewId="0">
      <selection activeCell="A30" sqref="A30:XFD30"/>
    </sheetView>
  </sheetViews>
  <sheetFormatPr defaultRowHeight="14.4" x14ac:dyDescent="0.3"/>
  <sheetData>
    <row r="1" spans="1:1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</row>
    <row r="2" spans="1:11" x14ac:dyDescent="0.3">
      <c r="A2" s="1" t="s">
        <v>6</v>
      </c>
      <c r="B2" s="2">
        <v>25</v>
      </c>
      <c r="C2" s="2" t="s">
        <v>7</v>
      </c>
      <c r="D2" s="2">
        <v>32000</v>
      </c>
      <c r="E2" s="2">
        <v>2</v>
      </c>
      <c r="F2" s="2">
        <v>150</v>
      </c>
      <c r="G2">
        <f>COUNTA(A2:A31)</f>
        <v>30</v>
      </c>
      <c r="H2">
        <f>COUNTIF(C2:C31,"finance")</f>
        <v>6</v>
      </c>
      <c r="I2">
        <f>SUMIF(C2:C31,"Marketing",D2:D31)</f>
        <v>260000</v>
      </c>
      <c r="J2" t="str">
        <f>IF(F2&lt;=200,"Poor",IF(F2&lt;=500,"Average",IF(F2&lt;=800,"Good","Distinctions")))</f>
        <v>Poor</v>
      </c>
      <c r="K2">
        <f>COUNTIF(E2:E31,"&lt;8")</f>
        <v>24</v>
      </c>
    </row>
    <row r="3" spans="1:11" x14ac:dyDescent="0.3">
      <c r="A3" s="1" t="s">
        <v>8</v>
      </c>
      <c r="B3" s="2">
        <v>28</v>
      </c>
      <c r="C3" s="2" t="s">
        <v>9</v>
      </c>
      <c r="D3" s="2">
        <v>45000</v>
      </c>
      <c r="E3" s="2">
        <v>4</v>
      </c>
      <c r="F3" s="2">
        <v>220</v>
      </c>
      <c r="J3" t="str">
        <f t="shared" ref="J3:J31" si="0">IF(F3&lt;=200,"Poor",IF(F3&lt;=500,"Average",IF(F3&lt;=800,"Good","Distinctions")))</f>
        <v>Average</v>
      </c>
    </row>
    <row r="4" spans="1:11" x14ac:dyDescent="0.3">
      <c r="A4" s="1" t="s">
        <v>10</v>
      </c>
      <c r="B4" s="2">
        <v>30</v>
      </c>
      <c r="C4" s="2" t="s">
        <v>11</v>
      </c>
      <c r="D4" s="2">
        <v>50000</v>
      </c>
      <c r="E4" s="2">
        <v>6</v>
      </c>
      <c r="F4" s="2">
        <v>180</v>
      </c>
      <c r="J4" t="str">
        <f t="shared" si="0"/>
        <v>Poor</v>
      </c>
    </row>
    <row r="5" spans="1:11" ht="28.8" x14ac:dyDescent="0.3">
      <c r="A5" s="1" t="s">
        <v>12</v>
      </c>
      <c r="B5" s="2">
        <v>26</v>
      </c>
      <c r="C5" s="2" t="s">
        <v>13</v>
      </c>
      <c r="D5" s="2">
        <v>35000</v>
      </c>
      <c r="E5" s="2">
        <v>3</v>
      </c>
      <c r="F5" s="2">
        <v>210</v>
      </c>
      <c r="J5" t="str">
        <f t="shared" si="0"/>
        <v>Average</v>
      </c>
    </row>
    <row r="6" spans="1:11" x14ac:dyDescent="0.3">
      <c r="A6" s="1" t="s">
        <v>14</v>
      </c>
      <c r="B6" s="2">
        <v>29</v>
      </c>
      <c r="C6" s="2" t="s">
        <v>5</v>
      </c>
      <c r="D6" s="2">
        <v>40000</v>
      </c>
      <c r="E6" s="2">
        <v>5</v>
      </c>
      <c r="F6" s="2">
        <v>260</v>
      </c>
      <c r="J6" t="str">
        <f t="shared" si="0"/>
        <v>Average</v>
      </c>
    </row>
    <row r="7" spans="1:11" x14ac:dyDescent="0.3">
      <c r="A7" s="1" t="s">
        <v>15</v>
      </c>
      <c r="B7" s="2">
        <v>31</v>
      </c>
      <c r="C7" s="2" t="s">
        <v>9</v>
      </c>
      <c r="D7" s="2">
        <v>52000</v>
      </c>
      <c r="E7" s="2">
        <v>7</v>
      </c>
      <c r="F7" s="2">
        <v>300</v>
      </c>
      <c r="J7" t="str">
        <f t="shared" si="0"/>
        <v>Average</v>
      </c>
    </row>
    <row r="8" spans="1:11" x14ac:dyDescent="0.3">
      <c r="A8" s="1" t="s">
        <v>16</v>
      </c>
      <c r="B8" s="2">
        <v>27</v>
      </c>
      <c r="C8" s="2" t="s">
        <v>7</v>
      </c>
      <c r="D8" s="2">
        <v>33000</v>
      </c>
      <c r="E8" s="2">
        <v>3</v>
      </c>
      <c r="F8" s="2">
        <v>140</v>
      </c>
      <c r="J8" t="str">
        <f t="shared" si="0"/>
        <v>Poor</v>
      </c>
    </row>
    <row r="9" spans="1:11" x14ac:dyDescent="0.3">
      <c r="A9" s="1" t="s">
        <v>17</v>
      </c>
      <c r="B9" s="2">
        <v>35</v>
      </c>
      <c r="C9" s="2" t="s">
        <v>11</v>
      </c>
      <c r="D9" s="2">
        <v>60000</v>
      </c>
      <c r="E9" s="2">
        <v>10</v>
      </c>
      <c r="F9" s="2">
        <v>280</v>
      </c>
      <c r="J9" t="str">
        <f t="shared" si="0"/>
        <v>Average</v>
      </c>
    </row>
    <row r="10" spans="1:11" ht="28.8" x14ac:dyDescent="0.3">
      <c r="A10" s="1" t="s">
        <v>18</v>
      </c>
      <c r="B10" s="2">
        <v>24</v>
      </c>
      <c r="C10" s="2" t="s">
        <v>13</v>
      </c>
      <c r="D10" s="2">
        <v>31000</v>
      </c>
      <c r="E10" s="2">
        <v>1</v>
      </c>
      <c r="F10" s="2">
        <v>120</v>
      </c>
      <c r="J10" t="str">
        <f t="shared" si="0"/>
        <v>Poor</v>
      </c>
    </row>
    <row r="11" spans="1:11" x14ac:dyDescent="0.3">
      <c r="A11" s="1" t="s">
        <v>19</v>
      </c>
      <c r="B11" s="2">
        <v>33</v>
      </c>
      <c r="C11" s="2" t="s">
        <v>5</v>
      </c>
      <c r="D11" s="2">
        <v>55000</v>
      </c>
      <c r="E11" s="2">
        <v>8</v>
      </c>
      <c r="F11" s="2">
        <v>350</v>
      </c>
      <c r="J11" t="str">
        <f t="shared" si="0"/>
        <v>Average</v>
      </c>
    </row>
    <row r="12" spans="1:11" ht="9" customHeight="1" x14ac:dyDescent="0.3">
      <c r="A12" s="1" t="s">
        <v>20</v>
      </c>
      <c r="B12" s="2">
        <v>29</v>
      </c>
      <c r="C12" s="2" t="s">
        <v>9</v>
      </c>
      <c r="D12" s="2">
        <v>47000</v>
      </c>
      <c r="E12" s="2">
        <v>5</v>
      </c>
      <c r="F12" s="2">
        <v>200</v>
      </c>
      <c r="J12" t="str">
        <f t="shared" si="0"/>
        <v>Poor</v>
      </c>
    </row>
    <row r="13" spans="1:11" x14ac:dyDescent="0.3">
      <c r="A13" s="1" t="s">
        <v>21</v>
      </c>
      <c r="B13" s="2">
        <v>32</v>
      </c>
      <c r="C13" s="2" t="s">
        <v>7</v>
      </c>
      <c r="D13" s="2">
        <v>38000</v>
      </c>
      <c r="E13" s="2">
        <v>6</v>
      </c>
      <c r="F13" s="2">
        <v>160</v>
      </c>
      <c r="J13" t="str">
        <f t="shared" si="0"/>
        <v>Poor</v>
      </c>
    </row>
    <row r="14" spans="1:11" x14ac:dyDescent="0.3">
      <c r="A14" s="1" t="s">
        <v>22</v>
      </c>
      <c r="B14" s="2">
        <v>28</v>
      </c>
      <c r="C14" s="2" t="s">
        <v>11</v>
      </c>
      <c r="D14" s="2">
        <v>49000</v>
      </c>
      <c r="E14" s="2">
        <v>4</v>
      </c>
      <c r="F14" s="2">
        <v>190</v>
      </c>
      <c r="J14" t="str">
        <f t="shared" si="0"/>
        <v>Poor</v>
      </c>
    </row>
    <row r="15" spans="1:11" ht="28.8" x14ac:dyDescent="0.3">
      <c r="A15" s="1" t="s">
        <v>23</v>
      </c>
      <c r="B15" s="2">
        <v>34</v>
      </c>
      <c r="C15" s="2" t="s">
        <v>13</v>
      </c>
      <c r="D15" s="2">
        <v>53000</v>
      </c>
      <c r="E15" s="2">
        <v>9</v>
      </c>
      <c r="F15" s="2">
        <v>310</v>
      </c>
      <c r="J15" t="str">
        <f t="shared" si="0"/>
        <v>Average</v>
      </c>
    </row>
    <row r="16" spans="1:11" x14ac:dyDescent="0.3">
      <c r="A16" s="1" t="s">
        <v>24</v>
      </c>
      <c r="B16" s="2">
        <v>26</v>
      </c>
      <c r="C16" s="2" t="s">
        <v>5</v>
      </c>
      <c r="D16" s="2">
        <v>36000</v>
      </c>
      <c r="E16" s="2">
        <v>2</v>
      </c>
      <c r="F16" s="2">
        <v>170</v>
      </c>
      <c r="J16" t="str">
        <f t="shared" si="0"/>
        <v>Poor</v>
      </c>
    </row>
    <row r="17" spans="1:10" x14ac:dyDescent="0.3">
      <c r="A17" s="1" t="s">
        <v>25</v>
      </c>
      <c r="B17" s="2">
        <v>30</v>
      </c>
      <c r="C17" s="2" t="s">
        <v>9</v>
      </c>
      <c r="D17" s="2">
        <v>51000</v>
      </c>
      <c r="E17" s="2">
        <v>6</v>
      </c>
      <c r="F17" s="2">
        <v>240</v>
      </c>
      <c r="J17" t="str">
        <f t="shared" si="0"/>
        <v>Average</v>
      </c>
    </row>
    <row r="18" spans="1:10" x14ac:dyDescent="0.3">
      <c r="A18" s="1" t="s">
        <v>26</v>
      </c>
      <c r="B18" s="2">
        <v>27</v>
      </c>
      <c r="C18" s="2" t="s">
        <v>7</v>
      </c>
      <c r="D18" s="2">
        <v>34000</v>
      </c>
      <c r="E18" s="2">
        <v>3</v>
      </c>
      <c r="F18" s="2">
        <v>130</v>
      </c>
      <c r="J18" t="str">
        <f t="shared" si="0"/>
        <v>Poor</v>
      </c>
    </row>
    <row r="19" spans="1:10" ht="9" customHeight="1" x14ac:dyDescent="0.3">
      <c r="A19" s="1" t="s">
        <v>27</v>
      </c>
      <c r="B19" s="2">
        <v>25</v>
      </c>
      <c r="C19" s="2" t="s">
        <v>11</v>
      </c>
      <c r="D19" s="2">
        <v>42000</v>
      </c>
      <c r="E19" s="2">
        <v>2</v>
      </c>
      <c r="F19" s="2">
        <v>150</v>
      </c>
      <c r="J19" t="str">
        <f t="shared" si="0"/>
        <v>Poor</v>
      </c>
    </row>
    <row r="20" spans="1:10" ht="28.8" x14ac:dyDescent="0.3">
      <c r="A20" s="1" t="s">
        <v>28</v>
      </c>
      <c r="B20" s="2">
        <v>31</v>
      </c>
      <c r="C20" s="2" t="s">
        <v>13</v>
      </c>
      <c r="D20" s="2">
        <v>52000</v>
      </c>
      <c r="E20" s="2">
        <v>7</v>
      </c>
      <c r="F20" s="2">
        <v>290</v>
      </c>
      <c r="J20" t="str">
        <f t="shared" si="0"/>
        <v>Average</v>
      </c>
    </row>
    <row r="21" spans="1:10" x14ac:dyDescent="0.3">
      <c r="A21" s="1" t="s">
        <v>29</v>
      </c>
      <c r="B21" s="2">
        <v>29</v>
      </c>
      <c r="C21" s="2" t="s">
        <v>5</v>
      </c>
      <c r="D21" s="2">
        <v>46000</v>
      </c>
      <c r="E21" s="2">
        <v>5</v>
      </c>
      <c r="F21" s="2">
        <v>210</v>
      </c>
      <c r="J21" t="str">
        <f t="shared" si="0"/>
        <v>Average</v>
      </c>
    </row>
    <row r="22" spans="1:10" x14ac:dyDescent="0.3">
      <c r="A22" s="1" t="s">
        <v>30</v>
      </c>
      <c r="B22" s="2">
        <v>35</v>
      </c>
      <c r="C22" s="2" t="s">
        <v>9</v>
      </c>
      <c r="D22" s="2">
        <v>61000</v>
      </c>
      <c r="E22" s="2">
        <v>11</v>
      </c>
      <c r="F22" s="2">
        <v>400</v>
      </c>
      <c r="J22" t="str">
        <f t="shared" si="0"/>
        <v>Average</v>
      </c>
    </row>
    <row r="23" spans="1:10" x14ac:dyDescent="0.3">
      <c r="A23" s="1" t="s">
        <v>31</v>
      </c>
      <c r="B23" s="2">
        <v>28</v>
      </c>
      <c r="C23" s="2" t="s">
        <v>7</v>
      </c>
      <c r="D23" s="2">
        <v>37000</v>
      </c>
      <c r="E23" s="2">
        <v>4</v>
      </c>
      <c r="F23" s="2">
        <v>180</v>
      </c>
      <c r="J23" t="str">
        <f t="shared" si="0"/>
        <v>Poor</v>
      </c>
    </row>
    <row r="24" spans="1:10" ht="9" customHeight="1" x14ac:dyDescent="0.3">
      <c r="A24" s="1" t="s">
        <v>32</v>
      </c>
      <c r="B24" s="2">
        <v>32</v>
      </c>
      <c r="C24" s="2" t="s">
        <v>11</v>
      </c>
      <c r="D24" s="2">
        <v>58000</v>
      </c>
      <c r="E24" s="2">
        <v>8</v>
      </c>
      <c r="F24" s="2">
        <v>260</v>
      </c>
      <c r="J24" t="str">
        <f t="shared" si="0"/>
        <v>Average</v>
      </c>
    </row>
    <row r="25" spans="1:10" ht="28.8" x14ac:dyDescent="0.3">
      <c r="A25" s="1" t="s">
        <v>33</v>
      </c>
      <c r="B25" s="2">
        <v>26</v>
      </c>
      <c r="C25" s="2" t="s">
        <v>13</v>
      </c>
      <c r="D25" s="2">
        <v>35000</v>
      </c>
      <c r="E25" s="2">
        <v>2</v>
      </c>
      <c r="F25" s="2">
        <v>200</v>
      </c>
      <c r="J25" t="str">
        <f t="shared" si="0"/>
        <v>Poor</v>
      </c>
    </row>
    <row r="26" spans="1:10" x14ac:dyDescent="0.3">
      <c r="A26" s="1" t="s">
        <v>34</v>
      </c>
      <c r="B26" s="2">
        <v>30</v>
      </c>
      <c r="C26" s="2" t="s">
        <v>5</v>
      </c>
      <c r="D26" s="2">
        <v>49000</v>
      </c>
      <c r="E26" s="2">
        <v>6</v>
      </c>
      <c r="F26" s="2">
        <v>230</v>
      </c>
      <c r="J26" t="str">
        <f t="shared" si="0"/>
        <v>Average</v>
      </c>
    </row>
    <row r="27" spans="1:10" x14ac:dyDescent="0.3">
      <c r="A27" s="1" t="s">
        <v>35</v>
      </c>
      <c r="B27" s="2">
        <v>27</v>
      </c>
      <c r="C27" s="2" t="s">
        <v>9</v>
      </c>
      <c r="D27" s="2">
        <v>45000</v>
      </c>
      <c r="E27" s="2">
        <v>4</v>
      </c>
      <c r="F27" s="2">
        <v>210</v>
      </c>
      <c r="J27" t="str">
        <f t="shared" si="0"/>
        <v>Average</v>
      </c>
    </row>
    <row r="28" spans="1:10" x14ac:dyDescent="0.3">
      <c r="A28" s="1" t="s">
        <v>36</v>
      </c>
      <c r="B28" s="2">
        <v>33</v>
      </c>
      <c r="C28" s="2" t="s">
        <v>7</v>
      </c>
      <c r="D28" s="2">
        <v>40000</v>
      </c>
      <c r="E28" s="2">
        <v>9</v>
      </c>
      <c r="F28" s="2">
        <v>170</v>
      </c>
      <c r="J28" t="str">
        <f t="shared" si="0"/>
        <v>Poor</v>
      </c>
    </row>
    <row r="29" spans="1:10" x14ac:dyDescent="0.3">
      <c r="A29" s="1" t="s">
        <v>37</v>
      </c>
      <c r="B29" s="2">
        <v>29</v>
      </c>
      <c r="C29" s="2" t="s">
        <v>11</v>
      </c>
      <c r="D29" s="2">
        <v>47000</v>
      </c>
      <c r="E29" s="2">
        <v>5</v>
      </c>
      <c r="F29" s="2">
        <v>200</v>
      </c>
      <c r="J29" t="str">
        <f t="shared" si="0"/>
        <v>Poor</v>
      </c>
    </row>
    <row r="30" spans="1:10" ht="28.8" x14ac:dyDescent="0.3">
      <c r="A30" s="1" t="s">
        <v>38</v>
      </c>
      <c r="B30" s="2">
        <v>31</v>
      </c>
      <c r="C30" s="2" t="s">
        <v>13</v>
      </c>
      <c r="D30" s="2">
        <v>54000</v>
      </c>
      <c r="E30" s="2">
        <v>7</v>
      </c>
      <c r="F30" s="2">
        <v>320</v>
      </c>
      <c r="J30" t="str">
        <f t="shared" si="0"/>
        <v>Average</v>
      </c>
    </row>
    <row r="31" spans="1:10" x14ac:dyDescent="0.3">
      <c r="A31" s="1" t="s">
        <v>39</v>
      </c>
      <c r="B31" s="2">
        <v>25</v>
      </c>
      <c r="C31" s="2" t="s">
        <v>5</v>
      </c>
      <c r="D31" s="2">
        <v>35000</v>
      </c>
      <c r="E31" s="2">
        <v>2</v>
      </c>
      <c r="F31" s="2">
        <v>150</v>
      </c>
      <c r="J31" t="str">
        <f t="shared" si="0"/>
        <v>Poor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79DCD-A9C6-467C-9750-0CDDFD898625}">
  <dimension ref="A1:K17"/>
  <sheetViews>
    <sheetView tabSelected="1" workbookViewId="0">
      <selection activeCell="H23" sqref="H23"/>
    </sheetView>
  </sheetViews>
  <sheetFormatPr defaultRowHeight="14.4" x14ac:dyDescent="0.3"/>
  <cols>
    <col min="5" max="5" width="19.44140625" customWidth="1"/>
    <col min="6" max="6" width="19.88671875" customWidth="1"/>
    <col min="7" max="7" width="15.5546875" bestFit="1" customWidth="1"/>
    <col min="8" max="8" width="5.88671875" bestFit="1" customWidth="1"/>
    <col min="9" max="9" width="6" bestFit="1" customWidth="1"/>
    <col min="10" max="10" width="11.109375" customWidth="1"/>
    <col min="11" max="11" width="10.77734375" bestFit="1" customWidth="1"/>
  </cols>
  <sheetData>
    <row r="1" spans="1:11" x14ac:dyDescent="0.3">
      <c r="A1" t="s">
        <v>45</v>
      </c>
      <c r="B1" t="s">
        <v>46</v>
      </c>
      <c r="C1" s="3" t="s">
        <v>5</v>
      </c>
    </row>
    <row r="2" spans="1:11" x14ac:dyDescent="0.3">
      <c r="A2" t="s">
        <v>47</v>
      </c>
      <c r="B2" t="s">
        <v>51</v>
      </c>
      <c r="C2">
        <v>500</v>
      </c>
      <c r="F2" s="4" t="s">
        <v>54</v>
      </c>
      <c r="G2" t="s">
        <v>56</v>
      </c>
      <c r="I2" s="4" t="s">
        <v>54</v>
      </c>
      <c r="J2" t="s">
        <v>56</v>
      </c>
    </row>
    <row r="3" spans="1:11" x14ac:dyDescent="0.3">
      <c r="A3" t="s">
        <v>48</v>
      </c>
      <c r="B3" t="s">
        <v>52</v>
      </c>
      <c r="C3">
        <v>300</v>
      </c>
      <c r="F3" s="5" t="s">
        <v>49</v>
      </c>
      <c r="G3" s="6">
        <v>900</v>
      </c>
      <c r="I3" s="5" t="s">
        <v>51</v>
      </c>
      <c r="J3" s="6">
        <v>1650</v>
      </c>
    </row>
    <row r="4" spans="1:11" x14ac:dyDescent="0.3">
      <c r="A4" t="s">
        <v>49</v>
      </c>
      <c r="B4" t="s">
        <v>53</v>
      </c>
      <c r="C4">
        <v>200</v>
      </c>
      <c r="F4" s="5" t="s">
        <v>47</v>
      </c>
      <c r="G4" s="6">
        <v>1600</v>
      </c>
      <c r="I4" s="5" t="s">
        <v>52</v>
      </c>
      <c r="J4" s="6">
        <v>1800</v>
      </c>
    </row>
    <row r="5" spans="1:11" x14ac:dyDescent="0.3">
      <c r="A5" t="s">
        <v>50</v>
      </c>
      <c r="B5" t="s">
        <v>52</v>
      </c>
      <c r="C5">
        <v>800</v>
      </c>
      <c r="F5" s="5" t="s">
        <v>48</v>
      </c>
      <c r="G5" s="6">
        <v>1000</v>
      </c>
      <c r="I5" s="5" t="s">
        <v>53</v>
      </c>
      <c r="J5" s="6">
        <v>1400</v>
      </c>
    </row>
    <row r="6" spans="1:11" x14ac:dyDescent="0.3">
      <c r="A6" t="s">
        <v>47</v>
      </c>
      <c r="B6" t="s">
        <v>51</v>
      </c>
      <c r="C6">
        <v>350</v>
      </c>
      <c r="F6" s="5" t="s">
        <v>50</v>
      </c>
      <c r="G6" s="6">
        <v>1350</v>
      </c>
      <c r="I6" s="5" t="s">
        <v>55</v>
      </c>
      <c r="J6" s="6">
        <v>4850</v>
      </c>
    </row>
    <row r="7" spans="1:11" x14ac:dyDescent="0.3">
      <c r="A7" t="s">
        <v>48</v>
      </c>
      <c r="B7" t="s">
        <v>53</v>
      </c>
      <c r="C7">
        <v>450</v>
      </c>
      <c r="F7" s="5" t="s">
        <v>55</v>
      </c>
      <c r="G7" s="6">
        <v>4850</v>
      </c>
    </row>
    <row r="8" spans="1:11" x14ac:dyDescent="0.3">
      <c r="A8" t="s">
        <v>49</v>
      </c>
      <c r="B8" t="s">
        <v>52</v>
      </c>
      <c r="C8">
        <v>700</v>
      </c>
    </row>
    <row r="9" spans="1:11" x14ac:dyDescent="0.3">
      <c r="A9" t="s">
        <v>50</v>
      </c>
      <c r="B9" t="s">
        <v>51</v>
      </c>
      <c r="C9">
        <v>550</v>
      </c>
    </row>
    <row r="10" spans="1:11" x14ac:dyDescent="0.3">
      <c r="A10" t="s">
        <v>47</v>
      </c>
      <c r="B10" t="s">
        <v>53</v>
      </c>
      <c r="C10">
        <v>750</v>
      </c>
    </row>
    <row r="11" spans="1:11" x14ac:dyDescent="0.3">
      <c r="A11" t="s">
        <v>48</v>
      </c>
      <c r="B11" t="s">
        <v>51</v>
      </c>
      <c r="C11">
        <v>250</v>
      </c>
    </row>
    <row r="12" spans="1:11" x14ac:dyDescent="0.3">
      <c r="F12" s="4" t="s">
        <v>56</v>
      </c>
      <c r="G12" s="4" t="s">
        <v>57</v>
      </c>
    </row>
    <row r="13" spans="1:11" x14ac:dyDescent="0.3">
      <c r="F13" s="4" t="s">
        <v>54</v>
      </c>
      <c r="G13" s="7" t="s">
        <v>49</v>
      </c>
      <c r="H13" t="s">
        <v>47</v>
      </c>
      <c r="I13" t="s">
        <v>48</v>
      </c>
      <c r="J13" s="3" t="s">
        <v>50</v>
      </c>
      <c r="K13" t="s">
        <v>55</v>
      </c>
    </row>
    <row r="14" spans="1:11" x14ac:dyDescent="0.3">
      <c r="F14" s="5" t="s">
        <v>51</v>
      </c>
      <c r="G14" s="6"/>
      <c r="H14" s="6">
        <v>850</v>
      </c>
      <c r="I14" s="6">
        <v>250</v>
      </c>
      <c r="J14" s="6">
        <v>550</v>
      </c>
      <c r="K14" s="6">
        <v>1650</v>
      </c>
    </row>
    <row r="15" spans="1:11" x14ac:dyDescent="0.3">
      <c r="F15" s="5" t="s">
        <v>52</v>
      </c>
      <c r="G15" s="8">
        <v>700</v>
      </c>
      <c r="H15" s="6"/>
      <c r="I15" s="6">
        <v>300</v>
      </c>
      <c r="J15" s="6">
        <v>800</v>
      </c>
      <c r="K15" s="6">
        <v>1800</v>
      </c>
    </row>
    <row r="16" spans="1:11" x14ac:dyDescent="0.3">
      <c r="F16" s="5" t="s">
        <v>53</v>
      </c>
      <c r="G16" s="6">
        <v>200</v>
      </c>
      <c r="H16" s="6">
        <v>750</v>
      </c>
      <c r="I16" s="6">
        <v>450</v>
      </c>
      <c r="J16" s="6"/>
      <c r="K16" s="6">
        <v>1400</v>
      </c>
    </row>
    <row r="17" spans="6:11" x14ac:dyDescent="0.3">
      <c r="F17" s="5" t="s">
        <v>55</v>
      </c>
      <c r="G17" s="6">
        <v>900</v>
      </c>
      <c r="H17" s="6">
        <v>1600</v>
      </c>
      <c r="I17" s="6">
        <v>1000</v>
      </c>
      <c r="J17" s="6">
        <v>1350</v>
      </c>
      <c r="K17" s="6">
        <v>4850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Spandan Hedpara</dc:creator>
  <cp:lastModifiedBy>Spandan Hedpara</cp:lastModifiedBy>
  <dcterms:created xsi:type="dcterms:W3CDTF">2026-08-11T06:46:42Z</dcterms:created>
  <dcterms:modified xsi:type="dcterms:W3CDTF">2026-08-11T08:01:55Z</dcterms:modified>
</cp:coreProperties>
</file>