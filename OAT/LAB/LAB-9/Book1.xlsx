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Boj\Sem-3\OAT\LAB\LAB-9\"/>
    </mc:Choice>
  </mc:AlternateContent>
  <xr:revisionPtr revIDLastSave="0" documentId="8_{D1633652-8BB5-459C-AA2B-356249521396}" xr6:coauthVersionLast="47" xr6:coauthVersionMax="47" xr10:uidLastSave="{00000000-0000-0000-0000-000000000000}"/>
  <bookViews>
    <workbookView xWindow="-108" yWindow="-108" windowWidth="23256" windowHeight="13176" activeTab="1" xr2:uid="{5F801E60-1FBB-420A-A8FE-4526775B193D}"/>
  </bookViews>
  <sheets>
    <sheet name="Sheet1" sheetId="1" r:id="rId1"/>
    <sheet name="Sheet2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2" i="1"/>
  <c r="G2" i="1"/>
  <c r="H2" i="1"/>
</calcChain>
</file>

<file path=xl/sharedStrings.xml><?xml version="1.0" encoding="utf-8"?>
<sst xmlns="http://schemas.openxmlformats.org/spreadsheetml/2006/main" count="118" uniqueCount="58">
  <si>
    <t>Name</t>
  </si>
  <si>
    <t>Age</t>
  </si>
  <si>
    <t>Department</t>
  </si>
  <si>
    <t>Salary (USD)</t>
  </si>
  <si>
    <t>Experience (Years)</t>
  </si>
  <si>
    <t>Sales (Units)</t>
  </si>
  <si>
    <t>Alice</t>
  </si>
  <si>
    <t>Marketing</t>
  </si>
  <si>
    <t>Bob</t>
  </si>
  <si>
    <t>Sales</t>
  </si>
  <si>
    <t>Charlie</t>
  </si>
  <si>
    <t>HR</t>
  </si>
  <si>
    <t>Diana</t>
  </si>
  <si>
    <t>IT</t>
  </si>
  <si>
    <t>Ethan</t>
  </si>
  <si>
    <t>Finance</t>
  </si>
  <si>
    <t>Fiona</t>
  </si>
  <si>
    <t>George</t>
  </si>
  <si>
    <t>Hannah</t>
  </si>
  <si>
    <t>Ian</t>
  </si>
  <si>
    <t>Julia</t>
  </si>
  <si>
    <t>Kevin</t>
  </si>
  <si>
    <t>Laura</t>
  </si>
  <si>
    <t>Michael</t>
  </si>
  <si>
    <t>Natalie</t>
  </si>
  <si>
    <t>Oliver</t>
  </si>
  <si>
    <t>Paula</t>
  </si>
  <si>
    <t>Quentin</t>
  </si>
  <si>
    <t>Rachel</t>
  </si>
  <si>
    <t>Sam</t>
  </si>
  <si>
    <t>Tina</t>
  </si>
  <si>
    <t>Umar</t>
  </si>
  <si>
    <t>Victoria</t>
  </si>
  <si>
    <t>William</t>
  </si>
  <si>
    <t>Xander</t>
  </si>
  <si>
    <t>Yvonne</t>
  </si>
  <si>
    <t>Zach</t>
  </si>
  <si>
    <t>Angela</t>
  </si>
  <si>
    <t>Brian</t>
  </si>
  <si>
    <t>Clara</t>
  </si>
  <si>
    <t>David</t>
  </si>
  <si>
    <t>Count</t>
  </si>
  <si>
    <t>countif</t>
  </si>
  <si>
    <t>sumif</t>
  </si>
  <si>
    <t>Grade</t>
  </si>
  <si>
    <t>Region</t>
  </si>
  <si>
    <t>Product</t>
  </si>
  <si>
    <t>North</t>
  </si>
  <si>
    <t>South</t>
  </si>
  <si>
    <t>East</t>
  </si>
  <si>
    <t>West</t>
  </si>
  <si>
    <t>Laptop</t>
  </si>
  <si>
    <t>Mobile</t>
  </si>
  <si>
    <t>Tablet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</si>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</sst>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Sheet1!$B$2:$B$31</c:f>
              <c:numCache>
                <c:formatCode>General</c:formatCode>
                <c:ptCount val="30"/>
                <c:pt idx="0">
                  <c:v>29</c:v>
                </c:pt>
                <c:pt idx="1">
                  <c:v>34</c:v>
                </c:pt>
                <c:pt idx="2">
                  <c:v>41</c:v>
                </c:pt>
                <c:pt idx="3">
                  <c:v>26</c:v>
                </c:pt>
                <c:pt idx="4">
                  <c:v>38</c:v>
                </c:pt>
                <c:pt idx="5">
                  <c:v>31</c:v>
                </c:pt>
                <c:pt idx="6">
                  <c:v>45</c:v>
                </c:pt>
                <c:pt idx="7">
                  <c:v>28</c:v>
                </c:pt>
                <c:pt idx="8">
                  <c:v>36</c:v>
                </c:pt>
                <c:pt idx="9">
                  <c:v>33</c:v>
                </c:pt>
                <c:pt idx="10">
                  <c:v>39</c:v>
                </c:pt>
                <c:pt idx="11">
                  <c:v>27</c:v>
                </c:pt>
                <c:pt idx="12">
                  <c:v>42</c:v>
                </c:pt>
                <c:pt idx="13">
                  <c:v>30</c:v>
                </c:pt>
                <c:pt idx="14">
                  <c:v>37</c:v>
                </c:pt>
                <c:pt idx="15">
                  <c:v>32</c:v>
                </c:pt>
                <c:pt idx="16">
                  <c:v>40</c:v>
                </c:pt>
                <c:pt idx="17">
                  <c:v>29</c:v>
                </c:pt>
                <c:pt idx="18">
                  <c:v>35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39</c:v>
                </c:pt>
                <c:pt idx="23">
                  <c:v>34</c:v>
                </c:pt>
                <c:pt idx="24">
                  <c:v>27</c:v>
                </c:pt>
                <c:pt idx="25">
                  <c:v>41</c:v>
                </c:pt>
                <c:pt idx="26">
                  <c:v>36</c:v>
                </c:pt>
                <c:pt idx="27">
                  <c:v>29</c:v>
                </c:pt>
                <c:pt idx="28">
                  <c:v>33</c:v>
                </c:pt>
                <c:pt idx="2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E-48E0-9F73-30C90EDE47D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Sheet1!$E$2:$E$31</c:f>
              <c:numCache>
                <c:formatCode>General</c:formatCode>
                <c:ptCount val="30"/>
                <c:pt idx="0">
                  <c:v>5</c:v>
                </c:pt>
                <c:pt idx="1">
                  <c:v>7</c:v>
                </c:pt>
                <c:pt idx="2">
                  <c:v>12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  <c:pt idx="6">
                  <c:v>18</c:v>
                </c:pt>
                <c:pt idx="7">
                  <c:v>4</c:v>
                </c:pt>
                <c:pt idx="8">
                  <c:v>9</c:v>
                </c:pt>
                <c:pt idx="9">
                  <c:v>8</c:v>
                </c:pt>
                <c:pt idx="10">
                  <c:v>11</c:v>
                </c:pt>
                <c:pt idx="11">
                  <c:v>4</c:v>
                </c:pt>
                <c:pt idx="12">
                  <c:v>15</c:v>
                </c:pt>
                <c:pt idx="13">
                  <c:v>5</c:v>
                </c:pt>
                <c:pt idx="14">
                  <c:v>12</c:v>
                </c:pt>
                <c:pt idx="15">
                  <c:v>7</c:v>
                </c:pt>
                <c:pt idx="16">
                  <c:v>14</c:v>
                </c:pt>
                <c:pt idx="17">
                  <c:v>5</c:v>
                </c:pt>
                <c:pt idx="18">
                  <c:v>10</c:v>
                </c:pt>
                <c:pt idx="19">
                  <c:v>6</c:v>
                </c:pt>
                <c:pt idx="20">
                  <c:v>20</c:v>
                </c:pt>
                <c:pt idx="21">
                  <c:v>7</c:v>
                </c:pt>
                <c:pt idx="22">
                  <c:v>13</c:v>
                </c:pt>
                <c:pt idx="23">
                  <c:v>9</c:v>
                </c:pt>
                <c:pt idx="24">
                  <c:v>4</c:v>
                </c:pt>
                <c:pt idx="25">
                  <c:v>15</c:v>
                </c:pt>
                <c:pt idx="26">
                  <c:v>10</c:v>
                </c:pt>
                <c:pt idx="27">
                  <c:v>6</c:v>
                </c:pt>
                <c:pt idx="28">
                  <c:v>8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E-48E0-9F73-30C90EDE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0333087"/>
        <c:axId val="1290333567"/>
        <c:axId val="0"/>
      </c:bar3DChart>
      <c:catAx>
        <c:axId val="1290333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333567"/>
        <c:crosses val="autoZero"/>
        <c:auto val="1"/>
        <c:lblAlgn val="ctr"/>
        <c:lblOffset val="100"/>
        <c:noMultiLvlLbl val="0"/>
      </c:catAx>
      <c:valAx>
        <c:axId val="12903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33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Sheet1!$D$2:$D$31</c:f>
              <c:numCache>
                <c:formatCode>#,##0</c:formatCode>
                <c:ptCount val="30"/>
                <c:pt idx="0">
                  <c:v>52000</c:v>
                </c:pt>
                <c:pt idx="1">
                  <c:v>60000</c:v>
                </c:pt>
                <c:pt idx="2">
                  <c:v>48000</c:v>
                </c:pt>
                <c:pt idx="3">
                  <c:v>55000</c:v>
                </c:pt>
                <c:pt idx="4">
                  <c:v>72000</c:v>
                </c:pt>
                <c:pt idx="5">
                  <c:v>58000</c:v>
                </c:pt>
                <c:pt idx="6">
                  <c:v>85000</c:v>
                </c:pt>
                <c:pt idx="7">
                  <c:v>47000</c:v>
                </c:pt>
                <c:pt idx="8">
                  <c:v>68000</c:v>
                </c:pt>
                <c:pt idx="9">
                  <c:v>70000</c:v>
                </c:pt>
                <c:pt idx="10">
                  <c:v>62000</c:v>
                </c:pt>
                <c:pt idx="11">
                  <c:v>54000</c:v>
                </c:pt>
                <c:pt idx="12">
                  <c:v>50000</c:v>
                </c:pt>
                <c:pt idx="13">
                  <c:v>66000</c:v>
                </c:pt>
                <c:pt idx="14">
                  <c:v>75000</c:v>
                </c:pt>
                <c:pt idx="15">
                  <c:v>59000</c:v>
                </c:pt>
                <c:pt idx="16">
                  <c:v>82000</c:v>
                </c:pt>
                <c:pt idx="17">
                  <c:v>49000</c:v>
                </c:pt>
                <c:pt idx="18">
                  <c:v>70000</c:v>
                </c:pt>
                <c:pt idx="19">
                  <c:v>68000</c:v>
                </c:pt>
                <c:pt idx="20">
                  <c:v>80000</c:v>
                </c:pt>
                <c:pt idx="21">
                  <c:v>61000</c:v>
                </c:pt>
                <c:pt idx="22">
                  <c:v>52000</c:v>
                </c:pt>
                <c:pt idx="23">
                  <c:v>72000</c:v>
                </c:pt>
                <c:pt idx="24">
                  <c:v>64000</c:v>
                </c:pt>
                <c:pt idx="25">
                  <c:v>77000</c:v>
                </c:pt>
                <c:pt idx="26">
                  <c:v>70000</c:v>
                </c:pt>
                <c:pt idx="27">
                  <c:v>46000</c:v>
                </c:pt>
                <c:pt idx="28">
                  <c:v>69000</c:v>
                </c:pt>
                <c:pt idx="29">
                  <c:v>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D-4751-B92A-2ECE28B6E7B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Sheet1!$E$2:$E$31</c:f>
              <c:numCache>
                <c:formatCode>General</c:formatCode>
                <c:ptCount val="30"/>
                <c:pt idx="0">
                  <c:v>5</c:v>
                </c:pt>
                <c:pt idx="1">
                  <c:v>7</c:v>
                </c:pt>
                <c:pt idx="2">
                  <c:v>12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  <c:pt idx="6">
                  <c:v>18</c:v>
                </c:pt>
                <c:pt idx="7">
                  <c:v>4</c:v>
                </c:pt>
                <c:pt idx="8">
                  <c:v>9</c:v>
                </c:pt>
                <c:pt idx="9">
                  <c:v>8</c:v>
                </c:pt>
                <c:pt idx="10">
                  <c:v>11</c:v>
                </c:pt>
                <c:pt idx="11">
                  <c:v>4</c:v>
                </c:pt>
                <c:pt idx="12">
                  <c:v>15</c:v>
                </c:pt>
                <c:pt idx="13">
                  <c:v>5</c:v>
                </c:pt>
                <c:pt idx="14">
                  <c:v>12</c:v>
                </c:pt>
                <c:pt idx="15">
                  <c:v>7</c:v>
                </c:pt>
                <c:pt idx="16">
                  <c:v>14</c:v>
                </c:pt>
                <c:pt idx="17">
                  <c:v>5</c:v>
                </c:pt>
                <c:pt idx="18">
                  <c:v>10</c:v>
                </c:pt>
                <c:pt idx="19">
                  <c:v>6</c:v>
                </c:pt>
                <c:pt idx="20">
                  <c:v>20</c:v>
                </c:pt>
                <c:pt idx="21">
                  <c:v>7</c:v>
                </c:pt>
                <c:pt idx="22">
                  <c:v>13</c:v>
                </c:pt>
                <c:pt idx="23">
                  <c:v>9</c:v>
                </c:pt>
                <c:pt idx="24">
                  <c:v>4</c:v>
                </c:pt>
                <c:pt idx="25">
                  <c:v>15</c:v>
                </c:pt>
                <c:pt idx="26">
                  <c:v>10</c:v>
                </c:pt>
                <c:pt idx="27">
                  <c:v>6</c:v>
                </c:pt>
                <c:pt idx="28">
                  <c:v>8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D-4751-B92A-2ECE28B6E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25978</xdr:colOff>
      <xdr:row>0</xdr:row>
      <xdr:rowOff>0</xdr:rowOff>
    </xdr:from>
    <xdr:to>
      <xdr:col>26</xdr:col>
      <xdr:colOff>259772</xdr:colOff>
      <xdr:row>23</xdr:row>
      <xdr:rowOff>129020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64FB2-82E2-9B37-DF99-5346BFB94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593148</xdr:colOff>
      <xdr:row>24</xdr:row>
      <xdr:rowOff>865</xdr:rowOff>
    </xdr:from>
    <xdr:to>
      <xdr:col>17</xdr:col>
      <xdr:colOff>316057</xdr:colOff>
      <xdr:row>39</xdr:row>
      <xdr:rowOff>16452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E8A1AA-AFF2-43DC-C0A8-119D8FDD0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5.321373263891" createdVersion="8" refreshedVersion="8" minRefreshableVersion="3" recordCount="10" xr:uid="{552AF04C-521F-485C-A721-F35BE89072B5}">
  <cacheSource type="worksheet">
    <worksheetSource ref="A1:C11" sheet="Sheet2"/>
  </cacheSource>
  <cacheFields count="3"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25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00"/>
  </r>
  <r>
    <x v="1"/>
    <x v="1"/>
    <n v="300"/>
  </r>
  <r>
    <x v="2"/>
    <x v="2"/>
    <n v="700"/>
  </r>
  <r>
    <x v="3"/>
    <x v="0"/>
    <n v="450"/>
  </r>
  <r>
    <x v="0"/>
    <x v="1"/>
    <n v="600"/>
  </r>
  <r>
    <x v="1"/>
    <x v="2"/>
    <n v="800"/>
  </r>
  <r>
    <x v="2"/>
    <x v="0"/>
    <n v="350"/>
  </r>
  <r>
    <x v="3"/>
    <x v="1"/>
    <n v="900"/>
  </r>
  <r>
    <x v="0"/>
    <x v="2"/>
    <n v="250"/>
  </r>
  <r>
    <x v="1"/>
    <x v="0"/>
    <n v="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E7874-5A9F-46DA-BB58-0304B9CEDA54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P8" firstHeaderRow="1" firstDataRow="2" firstDataCol="1"/>
  <pivotFields count="3"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0AD62-651D-4EEC-AFC5-D966A07F644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7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FA3BD-974E-4ED0-B739-9DCB732C866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3"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D436-1556-4BA8-A0EC-F1A3A8DC0641}">
  <dimension ref="A1:J31"/>
  <sheetViews>
    <sheetView topLeftCell="A23" zoomScale="88" workbookViewId="0">
      <selection activeCell="C2" sqref="C2:D31"/>
    </sheetView>
  </sheetViews>
  <sheetFormatPr defaultRowHeight="14.4" x14ac:dyDescent="0.3"/>
  <cols>
    <col min="2" max="2" width="8.88671875" customWidth="1"/>
    <col min="3" max="3" width="11.77734375" customWidth="1"/>
    <col min="5" max="5" width="11.109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3">
      <c r="A2" s="1" t="s">
        <v>6</v>
      </c>
      <c r="B2" s="2">
        <v>29</v>
      </c>
      <c r="C2" s="2" t="s">
        <v>7</v>
      </c>
      <c r="D2" s="3">
        <v>52000</v>
      </c>
      <c r="E2" s="2">
        <v>5</v>
      </c>
      <c r="F2" s="2">
        <v>120</v>
      </c>
      <c r="G2">
        <f>COUNTA(A2:A31)</f>
        <v>30</v>
      </c>
      <c r="H2">
        <f>COUNTIF(C2:C31,"Marketing")</f>
        <v>6</v>
      </c>
      <c r="I2">
        <f>SUMIF(C2:C31,"Sales",D2:D31)</f>
        <v>412000</v>
      </c>
      <c r="J2" t="str">
        <f>IF(F2&lt;200,"Poor", IF(F2&lt;500,"Average",IF(F2&lt;800,"Good",IF(F2&lt;1000,"Distinctions"))))</f>
        <v>Poor</v>
      </c>
    </row>
    <row r="3" spans="1:10" x14ac:dyDescent="0.3">
      <c r="A3" s="1" t="s">
        <v>8</v>
      </c>
      <c r="B3" s="2">
        <v>34</v>
      </c>
      <c r="C3" s="2" t="s">
        <v>9</v>
      </c>
      <c r="D3" s="3">
        <v>60000</v>
      </c>
      <c r="E3" s="2">
        <v>7</v>
      </c>
      <c r="F3" s="2">
        <v>200</v>
      </c>
      <c r="G3">
        <f t="shared" ref="G3:G31" si="0">COUNTA(A3:A32)</f>
        <v>29</v>
      </c>
      <c r="I3">
        <f t="shared" ref="I3:I31" si="1">SUMIF(C3:C32,"Sales",D3:D32)</f>
        <v>412000</v>
      </c>
      <c r="J3" t="str">
        <f t="shared" ref="J3:J31" si="2">IF(F3&lt;200,"Poor", IF(F3&lt;500,"Average",IF(F3&lt;800,"Good",IF(F3&lt;1000,"Distinctions"))))</f>
        <v>Average</v>
      </c>
    </row>
    <row r="4" spans="1:10" x14ac:dyDescent="0.3">
      <c r="A4" s="1" t="s">
        <v>10</v>
      </c>
      <c r="B4" s="2">
        <v>41</v>
      </c>
      <c r="C4" s="2" t="s">
        <v>11</v>
      </c>
      <c r="D4" s="3">
        <v>48000</v>
      </c>
      <c r="E4" s="2">
        <v>12</v>
      </c>
      <c r="F4" s="2">
        <v>50</v>
      </c>
      <c r="G4">
        <f t="shared" si="0"/>
        <v>28</v>
      </c>
      <c r="I4">
        <f t="shared" si="1"/>
        <v>352000</v>
      </c>
      <c r="J4" t="str">
        <f t="shared" si="2"/>
        <v>Poor</v>
      </c>
    </row>
    <row r="5" spans="1:10" x14ac:dyDescent="0.3">
      <c r="A5" s="1" t="s">
        <v>12</v>
      </c>
      <c r="B5" s="2">
        <v>26</v>
      </c>
      <c r="C5" s="2" t="s">
        <v>13</v>
      </c>
      <c r="D5" s="3">
        <v>55000</v>
      </c>
      <c r="E5" s="2">
        <v>3</v>
      </c>
      <c r="F5" s="2">
        <v>80</v>
      </c>
      <c r="G5">
        <f t="shared" si="0"/>
        <v>27</v>
      </c>
      <c r="I5">
        <f t="shared" si="1"/>
        <v>352000</v>
      </c>
      <c r="J5" t="str">
        <f t="shared" si="2"/>
        <v>Poor</v>
      </c>
    </row>
    <row r="6" spans="1:10" x14ac:dyDescent="0.3">
      <c r="A6" s="1" t="s">
        <v>14</v>
      </c>
      <c r="B6" s="2">
        <v>38</v>
      </c>
      <c r="C6" s="2" t="s">
        <v>15</v>
      </c>
      <c r="D6" s="3">
        <v>72000</v>
      </c>
      <c r="E6" s="2">
        <v>10</v>
      </c>
      <c r="F6" s="2">
        <v>95</v>
      </c>
      <c r="G6">
        <f t="shared" si="0"/>
        <v>26</v>
      </c>
      <c r="I6">
        <f t="shared" si="1"/>
        <v>352000</v>
      </c>
      <c r="J6" t="str">
        <f t="shared" si="2"/>
        <v>Poor</v>
      </c>
    </row>
    <row r="7" spans="1:10" x14ac:dyDescent="0.3">
      <c r="A7" s="1" t="s">
        <v>16</v>
      </c>
      <c r="B7" s="2">
        <v>31</v>
      </c>
      <c r="C7" s="2" t="s">
        <v>7</v>
      </c>
      <c r="D7" s="3">
        <v>58000</v>
      </c>
      <c r="E7" s="2">
        <v>6</v>
      </c>
      <c r="F7" s="2">
        <v>150</v>
      </c>
      <c r="G7">
        <f t="shared" si="0"/>
        <v>25</v>
      </c>
      <c r="I7">
        <f t="shared" si="1"/>
        <v>352000</v>
      </c>
      <c r="J7" t="str">
        <f t="shared" si="2"/>
        <v>Poor</v>
      </c>
    </row>
    <row r="8" spans="1:10" x14ac:dyDescent="0.3">
      <c r="A8" s="1" t="s">
        <v>17</v>
      </c>
      <c r="B8" s="2">
        <v>45</v>
      </c>
      <c r="C8" s="2" t="s">
        <v>9</v>
      </c>
      <c r="D8" s="3">
        <v>85000</v>
      </c>
      <c r="E8" s="2">
        <v>18</v>
      </c>
      <c r="F8" s="2">
        <v>300</v>
      </c>
      <c r="G8">
        <f t="shared" si="0"/>
        <v>24</v>
      </c>
      <c r="I8">
        <f t="shared" si="1"/>
        <v>352000</v>
      </c>
      <c r="J8" t="str">
        <f t="shared" si="2"/>
        <v>Average</v>
      </c>
    </row>
    <row r="9" spans="1:10" x14ac:dyDescent="0.3">
      <c r="A9" s="1" t="s">
        <v>18</v>
      </c>
      <c r="B9" s="2">
        <v>28</v>
      </c>
      <c r="C9" s="2" t="s">
        <v>11</v>
      </c>
      <c r="D9" s="3">
        <v>47000</v>
      </c>
      <c r="E9" s="2">
        <v>4</v>
      </c>
      <c r="F9" s="2">
        <v>40</v>
      </c>
      <c r="G9">
        <f t="shared" si="0"/>
        <v>23</v>
      </c>
      <c r="I9">
        <f t="shared" si="1"/>
        <v>267000</v>
      </c>
      <c r="J9" t="str">
        <f t="shared" si="2"/>
        <v>Poor</v>
      </c>
    </row>
    <row r="10" spans="1:10" x14ac:dyDescent="0.3">
      <c r="A10" s="1" t="s">
        <v>19</v>
      </c>
      <c r="B10" s="2">
        <v>36</v>
      </c>
      <c r="C10" s="2" t="s">
        <v>13</v>
      </c>
      <c r="D10" s="3">
        <v>68000</v>
      </c>
      <c r="E10" s="2">
        <v>9</v>
      </c>
      <c r="F10" s="2">
        <v>110</v>
      </c>
      <c r="G10">
        <f t="shared" si="0"/>
        <v>22</v>
      </c>
      <c r="I10">
        <f t="shared" si="1"/>
        <v>267000</v>
      </c>
      <c r="J10" t="str">
        <f t="shared" si="2"/>
        <v>Poor</v>
      </c>
    </row>
    <row r="11" spans="1:10" x14ac:dyDescent="0.3">
      <c r="A11" s="1" t="s">
        <v>20</v>
      </c>
      <c r="B11" s="2">
        <v>33</v>
      </c>
      <c r="C11" s="2" t="s">
        <v>15</v>
      </c>
      <c r="D11" s="3">
        <v>70000</v>
      </c>
      <c r="E11" s="2">
        <v>8</v>
      </c>
      <c r="F11" s="2">
        <v>90</v>
      </c>
      <c r="G11">
        <f t="shared" si="0"/>
        <v>21</v>
      </c>
      <c r="I11">
        <f t="shared" si="1"/>
        <v>267000</v>
      </c>
      <c r="J11" t="str">
        <f t="shared" si="2"/>
        <v>Poor</v>
      </c>
    </row>
    <row r="12" spans="1:10" x14ac:dyDescent="0.3">
      <c r="A12" s="1" t="s">
        <v>21</v>
      </c>
      <c r="B12" s="2">
        <v>39</v>
      </c>
      <c r="C12" s="2" t="s">
        <v>7</v>
      </c>
      <c r="D12" s="3">
        <v>62000</v>
      </c>
      <c r="E12" s="2">
        <v>11</v>
      </c>
      <c r="F12" s="2">
        <v>175</v>
      </c>
      <c r="G12">
        <f t="shared" si="0"/>
        <v>20</v>
      </c>
      <c r="I12">
        <f t="shared" si="1"/>
        <v>267000</v>
      </c>
      <c r="J12" t="str">
        <f t="shared" si="2"/>
        <v>Poor</v>
      </c>
    </row>
    <row r="13" spans="1:10" x14ac:dyDescent="0.3">
      <c r="A13" s="1" t="s">
        <v>22</v>
      </c>
      <c r="B13" s="2">
        <v>27</v>
      </c>
      <c r="C13" s="2" t="s">
        <v>9</v>
      </c>
      <c r="D13" s="3">
        <v>54000</v>
      </c>
      <c r="E13" s="2">
        <v>4</v>
      </c>
      <c r="F13" s="2">
        <v>130</v>
      </c>
      <c r="G13">
        <f t="shared" si="0"/>
        <v>19</v>
      </c>
      <c r="I13">
        <f t="shared" si="1"/>
        <v>267000</v>
      </c>
      <c r="J13" t="str">
        <f t="shared" si="2"/>
        <v>Poor</v>
      </c>
    </row>
    <row r="14" spans="1:10" x14ac:dyDescent="0.3">
      <c r="A14" s="1" t="s">
        <v>23</v>
      </c>
      <c r="B14" s="2">
        <v>42</v>
      </c>
      <c r="C14" s="2" t="s">
        <v>11</v>
      </c>
      <c r="D14" s="3">
        <v>50000</v>
      </c>
      <c r="E14" s="2">
        <v>15</v>
      </c>
      <c r="F14" s="2">
        <v>60</v>
      </c>
      <c r="G14">
        <f t="shared" si="0"/>
        <v>18</v>
      </c>
      <c r="I14">
        <f t="shared" si="1"/>
        <v>213000</v>
      </c>
      <c r="J14" t="str">
        <f t="shared" si="2"/>
        <v>Poor</v>
      </c>
    </row>
    <row r="15" spans="1:10" x14ac:dyDescent="0.3">
      <c r="A15" s="1" t="s">
        <v>24</v>
      </c>
      <c r="B15" s="2">
        <v>30</v>
      </c>
      <c r="C15" s="2" t="s">
        <v>13</v>
      </c>
      <c r="D15" s="3">
        <v>66000</v>
      </c>
      <c r="E15" s="2">
        <v>5</v>
      </c>
      <c r="F15" s="2">
        <v>100</v>
      </c>
      <c r="G15">
        <f t="shared" si="0"/>
        <v>17</v>
      </c>
      <c r="I15">
        <f t="shared" si="1"/>
        <v>213000</v>
      </c>
      <c r="J15" t="str">
        <f t="shared" si="2"/>
        <v>Poor</v>
      </c>
    </row>
    <row r="16" spans="1:10" x14ac:dyDescent="0.3">
      <c r="A16" s="1" t="s">
        <v>25</v>
      </c>
      <c r="B16" s="2">
        <v>37</v>
      </c>
      <c r="C16" s="2" t="s">
        <v>15</v>
      </c>
      <c r="D16" s="3">
        <v>75000</v>
      </c>
      <c r="E16" s="2">
        <v>12</v>
      </c>
      <c r="F16" s="2">
        <v>85</v>
      </c>
      <c r="G16">
        <f t="shared" si="0"/>
        <v>16</v>
      </c>
      <c r="I16">
        <f t="shared" si="1"/>
        <v>213000</v>
      </c>
      <c r="J16" t="str">
        <f t="shared" si="2"/>
        <v>Poor</v>
      </c>
    </row>
    <row r="17" spans="1:10" x14ac:dyDescent="0.3">
      <c r="A17" s="1" t="s">
        <v>26</v>
      </c>
      <c r="B17" s="2">
        <v>32</v>
      </c>
      <c r="C17" s="2" t="s">
        <v>7</v>
      </c>
      <c r="D17" s="3">
        <v>59000</v>
      </c>
      <c r="E17" s="2">
        <v>7</v>
      </c>
      <c r="F17" s="2">
        <v>160</v>
      </c>
      <c r="G17">
        <f t="shared" si="0"/>
        <v>15</v>
      </c>
      <c r="I17">
        <f t="shared" si="1"/>
        <v>213000</v>
      </c>
      <c r="J17" t="str">
        <f t="shared" si="2"/>
        <v>Poor</v>
      </c>
    </row>
    <row r="18" spans="1:10" x14ac:dyDescent="0.3">
      <c r="A18" s="1" t="s">
        <v>27</v>
      </c>
      <c r="B18" s="2">
        <v>40</v>
      </c>
      <c r="C18" s="2" t="s">
        <v>9</v>
      </c>
      <c r="D18" s="3">
        <v>82000</v>
      </c>
      <c r="E18" s="2">
        <v>14</v>
      </c>
      <c r="F18" s="2">
        <v>250</v>
      </c>
      <c r="G18">
        <f t="shared" si="0"/>
        <v>14</v>
      </c>
      <c r="I18">
        <f t="shared" si="1"/>
        <v>213000</v>
      </c>
      <c r="J18" t="str">
        <f t="shared" si="2"/>
        <v>Average</v>
      </c>
    </row>
    <row r="19" spans="1:10" x14ac:dyDescent="0.3">
      <c r="A19" s="1" t="s">
        <v>28</v>
      </c>
      <c r="B19" s="2">
        <v>29</v>
      </c>
      <c r="C19" s="2" t="s">
        <v>11</v>
      </c>
      <c r="D19" s="3">
        <v>49000</v>
      </c>
      <c r="E19" s="2">
        <v>5</v>
      </c>
      <c r="F19" s="2">
        <v>55</v>
      </c>
      <c r="G19">
        <f t="shared" si="0"/>
        <v>13</v>
      </c>
      <c r="I19">
        <f t="shared" si="1"/>
        <v>131000</v>
      </c>
      <c r="J19" t="str">
        <f t="shared" si="2"/>
        <v>Poor</v>
      </c>
    </row>
    <row r="20" spans="1:10" x14ac:dyDescent="0.3">
      <c r="A20" s="1" t="s">
        <v>29</v>
      </c>
      <c r="B20" s="2">
        <v>35</v>
      </c>
      <c r="C20" s="2" t="s">
        <v>13</v>
      </c>
      <c r="D20" s="3">
        <v>70000</v>
      </c>
      <c r="E20" s="2">
        <v>10</v>
      </c>
      <c r="F20" s="2">
        <v>120</v>
      </c>
      <c r="G20">
        <f t="shared" si="0"/>
        <v>12</v>
      </c>
      <c r="I20">
        <f t="shared" si="1"/>
        <v>131000</v>
      </c>
      <c r="J20" t="str">
        <f t="shared" si="2"/>
        <v>Poor</v>
      </c>
    </row>
    <row r="21" spans="1:10" x14ac:dyDescent="0.3">
      <c r="A21" s="1" t="s">
        <v>30</v>
      </c>
      <c r="B21" s="2">
        <v>28</v>
      </c>
      <c r="C21" s="2" t="s">
        <v>15</v>
      </c>
      <c r="D21" s="3">
        <v>68000</v>
      </c>
      <c r="E21" s="2">
        <v>6</v>
      </c>
      <c r="F21" s="2">
        <v>88</v>
      </c>
      <c r="G21">
        <f t="shared" si="0"/>
        <v>11</v>
      </c>
      <c r="I21">
        <f t="shared" si="1"/>
        <v>131000</v>
      </c>
      <c r="J21" t="str">
        <f t="shared" si="2"/>
        <v>Poor</v>
      </c>
    </row>
    <row r="22" spans="1:10" x14ac:dyDescent="0.3">
      <c r="A22" s="1" t="s">
        <v>31</v>
      </c>
      <c r="B22" s="2">
        <v>44</v>
      </c>
      <c r="C22" s="2" t="s">
        <v>7</v>
      </c>
      <c r="D22" s="3">
        <v>80000</v>
      </c>
      <c r="E22" s="2">
        <v>20</v>
      </c>
      <c r="F22" s="2">
        <v>210</v>
      </c>
      <c r="G22">
        <f t="shared" si="0"/>
        <v>10</v>
      </c>
      <c r="I22">
        <f t="shared" si="1"/>
        <v>131000</v>
      </c>
      <c r="J22" t="str">
        <f t="shared" si="2"/>
        <v>Average</v>
      </c>
    </row>
    <row r="23" spans="1:10" x14ac:dyDescent="0.3">
      <c r="A23" s="1" t="s">
        <v>32</v>
      </c>
      <c r="B23" s="2">
        <v>31</v>
      </c>
      <c r="C23" s="2" t="s">
        <v>9</v>
      </c>
      <c r="D23" s="3">
        <v>61000</v>
      </c>
      <c r="E23" s="2">
        <v>7</v>
      </c>
      <c r="F23" s="2">
        <v>140</v>
      </c>
      <c r="G23">
        <f t="shared" si="0"/>
        <v>9</v>
      </c>
      <c r="I23">
        <f t="shared" si="1"/>
        <v>131000</v>
      </c>
      <c r="J23" t="str">
        <f t="shared" si="2"/>
        <v>Poor</v>
      </c>
    </row>
    <row r="24" spans="1:10" x14ac:dyDescent="0.3">
      <c r="A24" s="1" t="s">
        <v>33</v>
      </c>
      <c r="B24" s="2">
        <v>39</v>
      </c>
      <c r="C24" s="2" t="s">
        <v>11</v>
      </c>
      <c r="D24" s="3">
        <v>52000</v>
      </c>
      <c r="E24" s="2">
        <v>13</v>
      </c>
      <c r="F24" s="2">
        <v>65</v>
      </c>
      <c r="G24">
        <f t="shared" si="0"/>
        <v>8</v>
      </c>
      <c r="I24">
        <f t="shared" si="1"/>
        <v>70000</v>
      </c>
      <c r="J24" t="str">
        <f t="shared" si="2"/>
        <v>Poor</v>
      </c>
    </row>
    <row r="25" spans="1:10" x14ac:dyDescent="0.3">
      <c r="A25" s="1" t="s">
        <v>34</v>
      </c>
      <c r="B25" s="2">
        <v>34</v>
      </c>
      <c r="C25" s="2" t="s">
        <v>13</v>
      </c>
      <c r="D25" s="3">
        <v>72000</v>
      </c>
      <c r="E25" s="2">
        <v>9</v>
      </c>
      <c r="F25" s="2">
        <v>115</v>
      </c>
      <c r="G25">
        <f t="shared" si="0"/>
        <v>7</v>
      </c>
      <c r="I25">
        <f t="shared" si="1"/>
        <v>70000</v>
      </c>
      <c r="J25" t="str">
        <f t="shared" si="2"/>
        <v>Poor</v>
      </c>
    </row>
    <row r="26" spans="1:10" x14ac:dyDescent="0.3">
      <c r="A26" s="1" t="s">
        <v>35</v>
      </c>
      <c r="B26" s="2">
        <v>27</v>
      </c>
      <c r="C26" s="2" t="s">
        <v>15</v>
      </c>
      <c r="D26" s="3">
        <v>64000</v>
      </c>
      <c r="E26" s="2">
        <v>4</v>
      </c>
      <c r="F26" s="2">
        <v>78</v>
      </c>
      <c r="G26">
        <f t="shared" si="0"/>
        <v>6</v>
      </c>
      <c r="I26">
        <f t="shared" si="1"/>
        <v>70000</v>
      </c>
      <c r="J26" t="str">
        <f t="shared" si="2"/>
        <v>Poor</v>
      </c>
    </row>
    <row r="27" spans="1:10" x14ac:dyDescent="0.3">
      <c r="A27" s="1" t="s">
        <v>36</v>
      </c>
      <c r="B27" s="2">
        <v>41</v>
      </c>
      <c r="C27" s="2" t="s">
        <v>7</v>
      </c>
      <c r="D27" s="3">
        <v>77000</v>
      </c>
      <c r="E27" s="2">
        <v>15</v>
      </c>
      <c r="F27" s="2">
        <v>190</v>
      </c>
      <c r="G27">
        <f t="shared" si="0"/>
        <v>5</v>
      </c>
      <c r="I27">
        <f t="shared" si="1"/>
        <v>70000</v>
      </c>
      <c r="J27" t="str">
        <f t="shared" si="2"/>
        <v>Poor</v>
      </c>
    </row>
    <row r="28" spans="1:10" x14ac:dyDescent="0.3">
      <c r="A28" s="1" t="s">
        <v>37</v>
      </c>
      <c r="B28" s="2">
        <v>36</v>
      </c>
      <c r="C28" s="2" t="s">
        <v>9</v>
      </c>
      <c r="D28" s="3">
        <v>70000</v>
      </c>
      <c r="E28" s="2">
        <v>10</v>
      </c>
      <c r="F28" s="2">
        <v>220</v>
      </c>
      <c r="G28">
        <f t="shared" si="0"/>
        <v>4</v>
      </c>
      <c r="I28">
        <f t="shared" si="1"/>
        <v>70000</v>
      </c>
      <c r="J28" t="str">
        <f t="shared" si="2"/>
        <v>Average</v>
      </c>
    </row>
    <row r="29" spans="1:10" x14ac:dyDescent="0.3">
      <c r="A29" s="1" t="s">
        <v>38</v>
      </c>
      <c r="B29" s="2">
        <v>29</v>
      </c>
      <c r="C29" s="2" t="s">
        <v>11</v>
      </c>
      <c r="D29" s="3">
        <v>46000</v>
      </c>
      <c r="E29" s="2">
        <v>6</v>
      </c>
      <c r="F29" s="2">
        <v>45</v>
      </c>
      <c r="G29">
        <f t="shared" si="0"/>
        <v>3</v>
      </c>
      <c r="I29">
        <f t="shared" si="1"/>
        <v>0</v>
      </c>
      <c r="J29" t="str">
        <f t="shared" si="2"/>
        <v>Poor</v>
      </c>
    </row>
    <row r="30" spans="1:10" x14ac:dyDescent="0.3">
      <c r="A30" s="1" t="s">
        <v>39</v>
      </c>
      <c r="B30" s="2">
        <v>33</v>
      </c>
      <c r="C30" s="2" t="s">
        <v>13</v>
      </c>
      <c r="D30" s="3">
        <v>69000</v>
      </c>
      <c r="E30" s="2">
        <v>8</v>
      </c>
      <c r="F30" s="2">
        <v>105</v>
      </c>
      <c r="G30">
        <f t="shared" si="0"/>
        <v>2</v>
      </c>
      <c r="I30">
        <f t="shared" si="1"/>
        <v>0</v>
      </c>
      <c r="J30" t="str">
        <f t="shared" si="2"/>
        <v>Poor</v>
      </c>
    </row>
    <row r="31" spans="1:10" x14ac:dyDescent="0.3">
      <c r="A31" s="1" t="s">
        <v>40</v>
      </c>
      <c r="B31" s="2">
        <v>40</v>
      </c>
      <c r="C31" s="2" t="s">
        <v>15</v>
      </c>
      <c r="D31" s="3">
        <v>76000</v>
      </c>
      <c r="E31" s="2">
        <v>14</v>
      </c>
      <c r="F31" s="2">
        <v>92</v>
      </c>
      <c r="G31">
        <f t="shared" si="0"/>
        <v>1</v>
      </c>
      <c r="I31">
        <f t="shared" si="1"/>
        <v>0</v>
      </c>
      <c r="J31" t="str">
        <f t="shared" si="2"/>
        <v>Poor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DEA4-7A64-4976-9798-79FCA9DB4830}">
  <dimension ref="A1:P11"/>
  <sheetViews>
    <sheetView tabSelected="1" workbookViewId="0">
      <selection activeCell="I18" sqref="I18"/>
    </sheetView>
  </sheetViews>
  <sheetFormatPr defaultRowHeight="14.4" x14ac:dyDescent="0.3"/>
  <cols>
    <col min="4" max="4" width="12.44140625" bestFit="1" customWidth="1"/>
    <col min="5" max="5" width="11.5546875" bestFit="1" customWidth="1"/>
    <col min="6" max="6" width="12.44140625" bestFit="1" customWidth="1"/>
    <col min="7" max="7" width="11.5546875" bestFit="1" customWidth="1"/>
    <col min="8" max="8" width="12.44140625" bestFit="1" customWidth="1"/>
    <col min="9" max="9" width="15.5546875" bestFit="1" customWidth="1"/>
    <col min="10" max="10" width="5.6640625" bestFit="1" customWidth="1"/>
    <col min="11" max="11" width="13.21875" customWidth="1"/>
    <col min="12" max="12" width="15.5546875" customWidth="1"/>
    <col min="13" max="13" width="10.5546875" bestFit="1" customWidth="1"/>
    <col min="14" max="14" width="10.6640625" customWidth="1"/>
    <col min="16" max="16" width="11.5546875" customWidth="1"/>
  </cols>
  <sheetData>
    <row r="1" spans="1:16" x14ac:dyDescent="0.3">
      <c r="A1" t="s">
        <v>45</v>
      </c>
      <c r="B1" t="s">
        <v>46</v>
      </c>
      <c r="C1" t="s">
        <v>9</v>
      </c>
    </row>
    <row r="2" spans="1:16" x14ac:dyDescent="0.3">
      <c r="A2" t="s">
        <v>47</v>
      </c>
      <c r="B2" t="s">
        <v>51</v>
      </c>
      <c r="C2">
        <v>500</v>
      </c>
    </row>
    <row r="3" spans="1:16" x14ac:dyDescent="0.3">
      <c r="A3" t="s">
        <v>48</v>
      </c>
      <c r="B3" t="s">
        <v>52</v>
      </c>
      <c r="C3">
        <v>300</v>
      </c>
      <c r="D3" s="4" t="s">
        <v>54</v>
      </c>
      <c r="E3" t="s">
        <v>56</v>
      </c>
      <c r="H3" s="4" t="s">
        <v>54</v>
      </c>
      <c r="I3" t="s">
        <v>56</v>
      </c>
      <c r="K3" s="4" t="s">
        <v>56</v>
      </c>
      <c r="L3" s="4" t="s">
        <v>57</v>
      </c>
    </row>
    <row r="4" spans="1:16" x14ac:dyDescent="0.3">
      <c r="A4" t="s">
        <v>49</v>
      </c>
      <c r="B4" t="s">
        <v>53</v>
      </c>
      <c r="C4">
        <v>700</v>
      </c>
      <c r="D4" s="5" t="s">
        <v>49</v>
      </c>
      <c r="E4" s="6">
        <v>1050</v>
      </c>
      <c r="H4" s="5" t="s">
        <v>51</v>
      </c>
      <c r="I4" s="6">
        <v>2050</v>
      </c>
      <c r="K4" s="4" t="s">
        <v>54</v>
      </c>
      <c r="L4" t="s">
        <v>49</v>
      </c>
      <c r="M4" t="s">
        <v>47</v>
      </c>
      <c r="N4" t="s">
        <v>48</v>
      </c>
      <c r="O4" t="s">
        <v>50</v>
      </c>
      <c r="P4" t="s">
        <v>55</v>
      </c>
    </row>
    <row r="5" spans="1:16" x14ac:dyDescent="0.3">
      <c r="A5" t="s">
        <v>50</v>
      </c>
      <c r="B5" t="s">
        <v>51</v>
      </c>
      <c r="C5">
        <v>450</v>
      </c>
      <c r="D5" s="5" t="s">
        <v>47</v>
      </c>
      <c r="E5" s="6">
        <v>1350</v>
      </c>
      <c r="H5" s="5" t="s">
        <v>52</v>
      </c>
      <c r="I5" s="6">
        <v>1800</v>
      </c>
      <c r="K5" s="5" t="s">
        <v>51</v>
      </c>
      <c r="L5" s="6">
        <v>350</v>
      </c>
      <c r="M5" s="6">
        <v>500</v>
      </c>
      <c r="N5" s="6">
        <v>750</v>
      </c>
      <c r="O5" s="6">
        <v>450</v>
      </c>
      <c r="P5" s="6">
        <v>2050</v>
      </c>
    </row>
    <row r="6" spans="1:16" x14ac:dyDescent="0.3">
      <c r="A6" t="s">
        <v>47</v>
      </c>
      <c r="B6" t="s">
        <v>52</v>
      </c>
      <c r="C6">
        <v>600</v>
      </c>
      <c r="D6" s="5" t="s">
        <v>48</v>
      </c>
      <c r="E6" s="6">
        <v>1850</v>
      </c>
      <c r="H6" s="5" t="s">
        <v>53</v>
      </c>
      <c r="I6" s="6">
        <v>1750</v>
      </c>
      <c r="K6" s="5" t="s">
        <v>52</v>
      </c>
      <c r="L6" s="6"/>
      <c r="M6" s="6">
        <v>600</v>
      </c>
      <c r="N6" s="6">
        <v>300</v>
      </c>
      <c r="O6" s="6">
        <v>900</v>
      </c>
      <c r="P6" s="6">
        <v>1800</v>
      </c>
    </row>
    <row r="7" spans="1:16" x14ac:dyDescent="0.3">
      <c r="A7" t="s">
        <v>48</v>
      </c>
      <c r="B7" t="s">
        <v>53</v>
      </c>
      <c r="C7">
        <v>800</v>
      </c>
      <c r="D7" s="5" t="s">
        <v>50</v>
      </c>
      <c r="E7" s="6">
        <v>1350</v>
      </c>
      <c r="H7" s="5" t="s">
        <v>55</v>
      </c>
      <c r="I7" s="6">
        <v>5600</v>
      </c>
      <c r="K7" s="5" t="s">
        <v>53</v>
      </c>
      <c r="L7" s="6">
        <v>700</v>
      </c>
      <c r="M7" s="6">
        <v>250</v>
      </c>
      <c r="N7" s="6">
        <v>800</v>
      </c>
      <c r="O7" s="6"/>
      <c r="P7" s="6">
        <v>1750</v>
      </c>
    </row>
    <row r="8" spans="1:16" x14ac:dyDescent="0.3">
      <c r="A8" t="s">
        <v>49</v>
      </c>
      <c r="B8" t="s">
        <v>51</v>
      </c>
      <c r="C8">
        <v>350</v>
      </c>
      <c r="D8" s="5" t="s">
        <v>55</v>
      </c>
      <c r="E8" s="6">
        <v>5600</v>
      </c>
      <c r="K8" s="5" t="s">
        <v>55</v>
      </c>
      <c r="L8" s="6">
        <v>1050</v>
      </c>
      <c r="M8" s="6">
        <v>1350</v>
      </c>
      <c r="N8" s="6">
        <v>1850</v>
      </c>
      <c r="O8" s="6">
        <v>1350</v>
      </c>
      <c r="P8" s="6">
        <v>5600</v>
      </c>
    </row>
    <row r="9" spans="1:16" x14ac:dyDescent="0.3">
      <c r="A9" t="s">
        <v>50</v>
      </c>
      <c r="B9" t="s">
        <v>52</v>
      </c>
      <c r="C9">
        <v>900</v>
      </c>
    </row>
    <row r="10" spans="1:16" x14ac:dyDescent="0.3">
      <c r="A10" t="s">
        <v>47</v>
      </c>
      <c r="B10" t="s">
        <v>53</v>
      </c>
      <c r="C10">
        <v>250</v>
      </c>
    </row>
    <row r="11" spans="1:16" x14ac:dyDescent="0.3">
      <c r="A11" t="s">
        <v>48</v>
      </c>
      <c r="B11" t="s">
        <v>51</v>
      </c>
      <c r="C11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Pandya</dc:creator>
  <cp:lastModifiedBy>Jeel Pandya</cp:lastModifiedBy>
  <dcterms:created xsi:type="dcterms:W3CDTF">2026-08-11T01:20:40Z</dcterms:created>
  <dcterms:modified xsi:type="dcterms:W3CDTF">2026-08-11T02:27:56Z</dcterms:modified>
</cp:coreProperties>
</file>